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
    </mc:Choice>
  </mc:AlternateContent>
  <bookViews>
    <workbookView xWindow="0" yWindow="0" windowWidth="20490" windowHeight="6855" firstSheet="6" activeTab="10"/>
  </bookViews>
  <sheets>
    <sheet name="Sheet1" sheetId="1" r:id="rId1"/>
    <sheet name="Sheet2" sheetId="2" r:id="rId2"/>
    <sheet name="Vlookup" sheetId="4" r:id="rId3"/>
    <sheet name="DynamicFilter" sheetId="3" r:id="rId4"/>
    <sheet name="Drop-Down List" sheetId="9" r:id="rId5"/>
    <sheet name="Dashboards" sheetId="10" r:id="rId6"/>
    <sheet name="AdvancedFilter" sheetId="5" r:id="rId7"/>
    <sheet name="Sheet3" sheetId="6" r:id="rId8"/>
    <sheet name="PVT" sheetId="8" r:id="rId9"/>
    <sheet name="ADO" sheetId="7" r:id="rId10"/>
    <sheet name="Concatenate" sheetId="11" r:id="rId11"/>
  </sheets>
  <functionGroups builtInGroupCount="18"/>
  <externalReferences>
    <externalReference r:id="rId12"/>
  </externalReferences>
  <definedNames>
    <definedName name="_xlnm._FilterDatabase" localSheetId="6" hidden="1">AdvancedFilter!$A$1:$L$7</definedName>
    <definedName name="_xlnm._FilterDatabase" localSheetId="3" hidden="1">DynamicFilter!$A$1:$F$25</definedName>
    <definedName name="_xlnm._FilterDatabase" localSheetId="7" hidden="1">Sheet3!$A$1:$B$19</definedName>
    <definedName name="_xlnm._FilterDatabase" localSheetId="2" hidden="1">Vlookup!$A$1:$C$10</definedName>
    <definedName name="_xlnm.Criteria" localSheetId="6">AdvancedFilter!$J$1:$L$2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5" i="10" l="1"/>
  <c r="D35" i="10"/>
  <c r="E35" i="10"/>
  <c r="F35" i="10"/>
  <c r="G35" i="10"/>
  <c r="H35" i="10"/>
  <c r="I35" i="10"/>
  <c r="J35" i="10"/>
  <c r="K35" i="10"/>
  <c r="L35" i="10"/>
  <c r="M35" i="10"/>
  <c r="N35" i="10"/>
  <c r="O35" i="10"/>
  <c r="P35" i="10"/>
  <c r="B35" i="10"/>
  <c r="B11" i="10"/>
  <c r="C11" i="10"/>
  <c r="D11" i="10"/>
  <c r="E11" i="10"/>
  <c r="F11" i="10"/>
  <c r="G11" i="10"/>
  <c r="H11" i="10"/>
  <c r="I11" i="10"/>
  <c r="D2" i="11"/>
  <c r="K3" i="4" l="1"/>
  <c r="K4" i="4"/>
  <c r="K2" i="4"/>
  <c r="H2" i="4" l="1"/>
  <c r="H3" i="4"/>
  <c r="H4" i="4"/>
  <c r="H1" i="4"/>
  <c r="E4" i="6" l="1"/>
  <c r="F3" i="6"/>
  <c r="F4" i="6" s="1"/>
  <c r="A3278" i="1" l="1"/>
  <c r="A3277" i="1"/>
  <c r="A3276" i="1"/>
  <c r="A3275" i="1"/>
  <c r="A3272" i="1"/>
  <c r="A3271" i="1"/>
  <c r="A3269" i="1"/>
  <c r="A3266" i="1"/>
  <c r="A3265" i="1"/>
  <c r="A3264" i="1"/>
  <c r="A3263" i="1"/>
  <c r="A3262" i="1"/>
  <c r="A3260" i="1"/>
  <c r="A3259" i="1"/>
  <c r="A3257" i="1"/>
  <c r="A3256" i="1"/>
  <c r="A3049" i="1"/>
  <c r="A3024" i="1"/>
  <c r="A3022" i="1"/>
  <c r="A2983" i="1"/>
  <c r="A2981" i="1"/>
  <c r="A2980" i="1"/>
  <c r="A2979" i="1"/>
  <c r="A2978" i="1"/>
  <c r="A2470" i="1"/>
  <c r="A2233" i="1"/>
  <c r="A2232" i="1"/>
  <c r="A2231" i="1"/>
  <c r="A2230" i="1"/>
  <c r="A2229" i="1"/>
  <c r="A2228" i="1"/>
  <c r="A1007" i="1"/>
  <c r="A932" i="1"/>
  <c r="A931" i="1"/>
  <c r="A909" i="1"/>
  <c r="A560" i="1"/>
  <c r="A459" i="1"/>
</calcChain>
</file>

<file path=xl/sharedStrings.xml><?xml version="1.0" encoding="utf-8"?>
<sst xmlns="http://schemas.openxmlformats.org/spreadsheetml/2006/main" count="5808" uniqueCount="3895">
  <si>
    <t>Second Highest salary?</t>
  </si>
  <si>
    <t>&gt;select max(salary) from emp where salary notin(select max(salary) from emp);</t>
  </si>
  <si>
    <t>&gt;select max(salary) from emp &lt; select max(salary) from emp);</t>
  </si>
  <si>
    <t>Sanjit Saxena-9717888786</t>
  </si>
  <si>
    <t>simi.jobfinder@gmail.com</t>
  </si>
  <si>
    <t>Kaperseda pin code:110037</t>
  </si>
  <si>
    <t>PDF Password:SURE1980</t>
  </si>
  <si>
    <t>8468989115-Santosh</t>
  </si>
  <si>
    <t>Re:How to remove blank rows in MS-Access?</t>
  </si>
  <si>
    <t>Sub sbImport_Export()</t>
  </si>
  <si>
    <t>DoCmd.SetWarnings False</t>
  </si>
  <si>
    <t>DoCmd.TransferSpreadsheet acImport, acSpreadsheetTypeExcel8, "HRS", "C:\Users\Surendra\Desktop\HR.xlsx", True 'Import</t>
  </si>
  <si>
    <t>DoCmd.TransferSpreadsheet acImport, 10, "SX", "C:\Users\Surendra\Desktop\HR.xlsx", True 'Import</t>
  </si>
  <si>
    <t>DoCmd.TransferSpreadsheet acExport, 9, "HR", "D:\Access\HR.xlsx", False, ""  'Export</t>
  </si>
  <si>
    <t>DoCmd.RunSQL "Delete * from HRS;"</t>
  </si>
  <si>
    <t>DoCmd.RunSQL "Drop table HRS"</t>
  </si>
  <si>
    <t>DoCmd.RunSQL "Create table Suri"</t>
  </si>
  <si>
    <t>DoCmd.RunSQL "Create Table Makeatable  HRS"</t>
  </si>
  <si>
    <t>DoCmd.RunSQL "Create Table Crosstable  HRS"</t>
  </si>
  <si>
    <t>DoCmd.RunSQL "Drop table Suri"</t>
  </si>
  <si>
    <t>DoCmd.SetWarnings True</t>
  </si>
  <si>
    <t>End Sub</t>
  </si>
  <si>
    <t>select,Delete,Update,Create,Make a Table,Cross Tab Query</t>
  </si>
  <si>
    <t>LR=ActiveSheet.Cells.Find("*",SearchOrder:=xlByRows,SearchDirection:=xlPrevious).Row</t>
  </si>
  <si>
    <t xml:space="preserve">    DoCmd.TransferSpreadsheet acExport, 9, "Sprint_Final", "D:\REPORTING\Sprint\Database\Sprint.xlsb", False, ""</t>
  </si>
  <si>
    <t xml:space="preserve">    DoCmd.TransferSpreadsheet acExport, 9, "Sprint_Completed", "D:\REPORTING\Sprint\Database\Sprint_Completed.xlsb", False, ""</t>
  </si>
  <si>
    <t xml:space="preserve">    DoCmd.TransferSpreadsheet acExport, 9, "Bulk_Delivery_Report", "D:\REPORTING\Sprint\Database\Bulk_Delivery_Report.xlsb", False, ""</t>
  </si>
  <si>
    <t xml:space="preserve">    DoCmd.TransferSpreadsheet acExport, 9, "Overview", "D:\REPORTING\Sprint\Database\Overview.xlsb", False, ""</t>
  </si>
  <si>
    <t xml:space="preserve">    DoCmd.OpenQuery "0_KN", acNormal, acEdit</t>
  </si>
  <si>
    <t xml:space="preserve">    DoCmd.OpenQuery "0_POP", acNormal, acEdit</t>
  </si>
  <si>
    <t xml:space="preserve">    DoCmd.OpenQuery "0_KN1", acNormal, acEdit</t>
  </si>
  <si>
    <t xml:space="preserve">    DoCmd.OpenQuery "0_KN2", acNormal, acEdit</t>
  </si>
  <si>
    <t xml:space="preserve">    DoCmd.DeleteObject acTable, "TBL_INVOICE"</t>
  </si>
  <si>
    <t xml:space="preserve">    DoCmd.DeleteObject acTable, "TBL_SPRINT"</t>
  </si>
  <si>
    <t xml:space="preserve">    DoCmd.DeleteObject acTable, "TBL_KN"</t>
  </si>
  <si>
    <t xml:space="preserve">    DoCmd.DeleteObject acTable, "TBL_POP"</t>
  </si>
  <si>
    <t xml:space="preserve">    DoCmd.DeleteObject acTable, "TBL_KN2"</t>
  </si>
  <si>
    <t xml:space="preserve">        </t>
  </si>
  <si>
    <t>Sub Previous()</t>
  </si>
  <si>
    <t xml:space="preserve">    Application.DisplayAlerts = False</t>
  </si>
  <si>
    <t xml:space="preserve">    Workbooks.Open Filename:="D:\REPORTING\Sprint\PREV\Sprint.xlsb"</t>
  </si>
  <si>
    <t xml:space="preserve">    Sheets("Sprint").Select</t>
  </si>
  <si>
    <t xml:space="preserve">    Worksheets("Sprint").AutoFilterMode = False</t>
  </si>
  <si>
    <t xml:space="preserve">    ActiveSheet.Outline.ShowLevels RowLevels:=0, ColumnLevels:=2</t>
  </si>
  <si>
    <t xml:space="preserve">    Range("A:A,AB:AC,AE:AF,AI:AK").Select</t>
  </si>
  <si>
    <t xml:space="preserve">    Selection.Copy</t>
  </si>
  <si>
    <t xml:space="preserve">    Workbooks.Add</t>
  </si>
  <si>
    <t xml:space="preserve">    ActiveSheet.Paste</t>
  </si>
  <si>
    <t xml:space="preserve">    Application.CutCopyMode = False</t>
  </si>
  <si>
    <t xml:space="preserve">    Selection.Columns.Ungroup</t>
  </si>
  <si>
    <t xml:space="preserve">    Range("A1").Select</t>
  </si>
  <si>
    <t xml:space="preserve">    Sheets("Sheet1").Name = "PREV"</t>
  </si>
  <si>
    <t xml:space="preserve">    ActiveWorkbook.SaveAs Filename:= _</t>
  </si>
  <si>
    <t xml:space="preserve">        "D:\REPORTING\Sprint\Database\PREV_Comments.xlsb", FileFormat:= _</t>
  </si>
  <si>
    <t xml:space="preserve">        xlExcel12, CreateBackup:=False</t>
  </si>
  <si>
    <t xml:space="preserve">    Windows("Sprint.xlsb").Close</t>
  </si>
  <si>
    <t xml:space="preserve">    Windows("PREV_Comments.xlsb").Close    </t>
  </si>
  <si>
    <t>Range("A:A,M:M,AC:AF,AI:AJ,AL:AL").Select</t>
  </si>
  <si>
    <t>RE:How to make a connection to the Notepad?</t>
  </si>
  <si>
    <t>Re:What is the diffrence between view and temp table?</t>
  </si>
  <si>
    <t xml:space="preserve">The main difference between temporary tables and views is that temporary tables are just the tables in tempdb, </t>
  </si>
  <si>
    <t xml:space="preserve">but views are just stored queries for existing data in existing tables. ... But temporary table needs to be populated first, </t>
  </si>
  <si>
    <t>and population is the main preformance-concerned issue.</t>
  </si>
  <si>
    <t>Differences between views and temp tables?</t>
  </si>
  <si>
    <t xml:space="preserve">In a relational database like SQL Server, views provide a way of giving users a way to work with specific portions of a larger schema. </t>
  </si>
  <si>
    <t>Temporary tables are another means of providing end users with a subset or collation of data from base tables, and at first glance</t>
  </si>
  <si>
    <t xml:space="preserve">it seems that these are similar methods of achieving the same end. So it is important to understand what the difference is </t>
  </si>
  <si>
    <t>between a view and a temp table.</t>
  </si>
  <si>
    <t xml:space="preserve">A temp table is a base table that is not stored in the database. Instead it only exists while the database session remains </t>
  </si>
  <si>
    <t xml:space="preserve">active, and it must be populated each session with data using SQL INSERT commands. Similarly, a view is not stored with data </t>
  </si>
  <si>
    <t>but with a query that will retrieve data. However, views exist only for a single query, and each time you generate a view it is</t>
  </si>
  <si>
    <t xml:space="preserve">recreated from current data. In contrast, a temp table exists for the entire database session, and once populated it retains </t>
  </si>
  <si>
    <t>those records until the session ends.</t>
  </si>
  <si>
    <t xml:space="preserve">Therefore, the data in a view is always current because it is generated dynamically, whereas the data in a temp table reflects </t>
  </si>
  <si>
    <t xml:space="preserve">the state of the database at the time it was populated. Because temp tables are actually base tables, they can be updated in </t>
  </si>
  <si>
    <t>the same way as a base table, but only views that meet certain criteria can be used for DML operations.</t>
  </si>
  <si>
    <t xml:space="preserve">The key determining factor in choosing between a view or a temp table is performance. If you are going to use data only once, </t>
  </si>
  <si>
    <t>then a view will perform better than a temp table because you don't need to create and populate the base structure, plus a view</t>
  </si>
  <si>
    <t xml:space="preserve">will guarantee that the results returned are always current. But if you are going to use data repeatedly during a database </t>
  </si>
  <si>
    <t xml:space="preserve">session then a temp table provides better performance because it only needs to be created once. As always, a trade-off is </t>
  </si>
  <si>
    <t xml:space="preserve">involved, and you need to be aware of the risk of outdated data with a temp table, and the restrictions on views for </t>
  </si>
  <si>
    <t>manipulating data.</t>
  </si>
  <si>
    <t xml:space="preserve">Temporary tables are just the tables in tempdb. Views are stored queries for existing data in existing tables. </t>
  </si>
  <si>
    <t xml:space="preserve">Temporary table needs to be populated first with data, and population is the main preformance-concerned issue. </t>
  </si>
  <si>
    <t>So the data in views already exists and so views are faster than temporary table.</t>
  </si>
  <si>
    <t>RE:What is a view of a table?</t>
  </si>
  <si>
    <t xml:space="preserve">In SQL, a view is a virtual table based on the result-set of an SQL statement. A view contains rows and columns, </t>
  </si>
  <si>
    <t>just like a real table. The fields in a view are fields from one or more real tables in the database.</t>
  </si>
  <si>
    <t>RE:Why do we need views in SQL?</t>
  </si>
  <si>
    <t xml:space="preserve">View can be described as virtual table which derived its data from one or more than one table columns. It is stored in the </t>
  </si>
  <si>
    <t>database. View can be created using tables of same database or different database. It is used to implement the security mechanism in the SQL Server</t>
  </si>
  <si>
    <t>RE:What is the use of index in SQL?</t>
  </si>
  <si>
    <t xml:space="preserve">An index is used to speed up the performance of queries. It does this by reducing the number of database data pages that have </t>
  </si>
  <si>
    <t>to be visited/scanned. In SQL Server, a clustered index determines the physical order of data in a table. There can be only one</t>
  </si>
  <si>
    <t>clustered index per table (the clustered index IS the table).</t>
  </si>
  <si>
    <t>RE:What is temp table in SQL?</t>
  </si>
  <si>
    <t xml:space="preserve">SQL Server provides the concept of temporary table which helps the developer in a great way. These tables can be created at </t>
  </si>
  <si>
    <t xml:space="preserve">runtime and can do the all kinds of operations that one normal table can do. But, based on the table types, the scope is </t>
  </si>
  <si>
    <t>limited. These tables are created inside tempdb database.</t>
  </si>
  <si>
    <t xml:space="preserve">N.B.:=&gt;DCount function counts the unique values in a record set. </t>
  </si>
  <si>
    <t>Re:Limit of 65000 rows when exporting to Excel from MS-Access?</t>
  </si>
  <si>
    <t>Limit of 65000 rows when exporting to Excel a Webi report - Webi XI 3.1. When you export data from a Webi XI 3.1 report for Excel it sends only 65000 rows for each worksheet. If the report has more than 65000 rows it exports the data that exceeds 65000 rows in the other worksheet.</t>
  </si>
  <si>
    <t>Re:Is there a row limit for CSV files?</t>
  </si>
  <si>
    <t>CSV files have no limit of rows you can add to them. Excel won't hold more that the 1 million lines of data if you import a CSV</t>
  </si>
  <si>
    <t>file having more lines. Excel will actually ask you whether you want to proceed when importing more than 1 million data rows.</t>
  </si>
  <si>
    <t>Re:=&gt;How many types tables can be created in MS-Access?</t>
  </si>
  <si>
    <t>Design view and Datasheet view</t>
  </si>
  <si>
    <t>In MS-Access data set:=&gt;</t>
  </si>
  <si>
    <t>Not Like "*N/A"</t>
  </si>
  <si>
    <t>Re:How many types query can be created in MS-Access?</t>
  </si>
  <si>
    <t>Query Design and Query Wizards</t>
  </si>
  <si>
    <t>Import the source data into a new table in the current database:=&gt;</t>
  </si>
  <si>
    <t>If the specified table doesn't exist,Access will create it,,if the specified table already exists,access might overright</t>
  </si>
  <si>
    <t>its contents with the imported data.Changes made to the source data will not be reflected in the database.</t>
  </si>
  <si>
    <t>Append a copy of the records to the table:=&gt;</t>
  </si>
  <si>
    <t>If the specified table exists,access will add the records to the table.If the table does not exist,access will create it</t>
  </si>
  <si>
    <t>Changes made to the source data will not be reflected in the database.</t>
  </si>
  <si>
    <t>Link to the data source by creating a Linked table:=&gt;</t>
  </si>
  <si>
    <t>Access will create a table that will maintain a link to the source data in the excel.Changes made to the source data</t>
  </si>
  <si>
    <t>in the excel will be reflected in the linked table.However,the source data can not be changed from within the access.</t>
  </si>
  <si>
    <t>Re:Types of query in MS-Access?</t>
  </si>
  <si>
    <t>Select,Update,Delete,Append,Crosstab,Make a Table</t>
  </si>
  <si>
    <t>Select Query:=&gt;Make the query and display records from the database.</t>
  </si>
  <si>
    <t>Update Query:=&gt;Make the query update the data in an existing data.</t>
  </si>
  <si>
    <t>Delete Query:=&gt;Make the query delete the information from an existing table where that data matches the criteria.</t>
  </si>
  <si>
    <t>Append Query:=&gt;Make the query add records to an exisitng table.</t>
  </si>
  <si>
    <t>Crosstab Query:=&gt;Make the cross tab query,which aggregates data by two sets of values-one displayed down the left</t>
  </si>
  <si>
    <t>side of the datasheet and another across the top.</t>
  </si>
  <si>
    <t>Make a Table Query:=&gt;Make the query select records from the database and save the records as new table.</t>
  </si>
  <si>
    <t>DoCmd.RunSQL "Select from Saving"</t>
  </si>
  <si>
    <t>DoCmd.RunSQL "Update from Saving"</t>
  </si>
  <si>
    <t>DoCmd.RunSQL "Delete from Saving"</t>
  </si>
  <si>
    <t>DoCmd.RunSQL "Delete from  Saving_2nd_level"</t>
  </si>
  <si>
    <t>DoCmd.RunSQL "UPDATE Targets INNER JOIN Inv_Assets_PRS ON Targets.Name = Inv_Assets_PRS.CT SET Inv_Assets_PRS.Target = [Targets]![INV ];"</t>
  </si>
  <si>
    <t>DoCmd.RunSQL "INSERT INTO CPVi ( [Market /Market Unit Name], [CPVi Actual],  Target, ReportingPeriod, Market ) SELECT TBL_CPVi.[Market /Market Unit Name], TBL_CPVi.[CPVi Actual],TBL_CPVi.Target, TBL_CPVi.ReportingPeriod, KEY_PRS.[Market Unit] FROM TBL_CPVi INNER JOIN KEY_PRS ON TBL_CPVi.[Market /Market Unit Name] = KEY_PRS.[CBT - Description] GROUP BY TBL_CPVi.[Market /Market Unit Name], TBL_CPVi.[CPVi Actual],  TBL_CPVi.Target, TBL_CPVi.ReportingPeriod, KEY_PRS.[Market Unit];"</t>
  </si>
  <si>
    <t>DoCmd.RunSQL "INSERT INTO Report_Run_Level " &amp; "VALUES (" &amp; "'" &amp; str &amp; "')"</t>
  </si>
  <si>
    <t>DoCmd.RunSQL " UPDATE OTDR INNER JOIN [Target OTDr] ON OTDR.CT = [Target OTDr].CT SET OTDR.Target = [Target OTDr]![Target] WHERE (([OTDR]![CT]=[Target OTDr]![CT]));"</t>
  </si>
  <si>
    <t>DoCmd.RunSQL "SELECT [OTDr_Volume]![GEO Region] AS CO_Market, Sum(OTDr_Volume.[No]) AS SumOfNo, OTDr_Volume.Reporting_Period INTO tbl_Volume FROM OTDr_Volume GROUP BY [OTDr_Volume]![GEO Region], OTDr_Volume.Reporting_Period; "</t>
  </si>
  <si>
    <t>DoCmd.RunSQL "UPDATE Cost_Intensity INNER JOIN Targets ON Cost_Intensity.CT = Targets.Name SET Cost_Intensity.Cost_Intensity_Target = [Targets]![Cost Intensity];"</t>
  </si>
  <si>
    <t>DoCmd.RunSQL "UPDATE Cost_Efficiency INNER JOIN Targets ON Cost_Efficiency.CT = Targets.Name SET Cost_Efficiency.Targets = [Targets]![Cost Efficiency];"</t>
  </si>
  <si>
    <t xml:space="preserve">    DoCmd.SetWarnings False</t>
  </si>
  <si>
    <t xml:space="preserve">    DoCmd.SetWarnings True</t>
  </si>
  <si>
    <t xml:space="preserve"> DoCmd.TransferSpreadsheet acImport, 8, "TBl_OTDr_Interim Dump", mypath, True</t>
  </si>
  <si>
    <t xml:space="preserve"> DoCmd.OpenQuery "Intrim_OTDrQuery"</t>
  </si>
  <si>
    <t xml:space="preserve"> DoCmd.Close acQuery, "Intrim_OTDrQuery"</t>
  </si>
  <si>
    <t xml:space="preserve"> </t>
  </si>
  <si>
    <t xml:space="preserve">    </t>
  </si>
  <si>
    <t>DoCmd.TransferSpreadsheet acImport, 8, "TBL_FN_OTIr", mypath, True</t>
  </si>
  <si>
    <t xml:space="preserve">            DoCmd.RunSQL "UPDATE TBL_FN_OTIr SET TBL_FN_OTIr.ReportingPeriod = '" &amp; Me.cmbReportingPeriod &amp; "' WHERE (((TBL_FN_OTIr.ReportingPeriod) Is Null));"</t>
  </si>
  <si>
    <t xml:space="preserve">        ElseIf Me.cmbReportName.Value = "ION OTIr" Then</t>
  </si>
  <si>
    <t xml:space="preserve">            DoCmd.TransferSpreadsheet acImport, 8, "TBL_ION_OTIr", mypath, True</t>
  </si>
  <si>
    <t xml:space="preserve">            DoCmd.RunSQL "UPDATE TBL_ION_OTIr SET TBL_ION_OTIr.ReportingPeriod = '" &amp; Me.cmbReportingPeriod &amp; "' WHERE (((TBL_ION_OTIr.ReportingPeriod) Is Null));"</t>
  </si>
  <si>
    <t xml:space="preserve">        ElseIf Me.cmbReportName.Value = "Synergy Savings" Then</t>
  </si>
  <si>
    <t xml:space="preserve">            DoCmd.TransferSpreadsheet acImport, 8, "TBL_Synergy", mypath, True</t>
  </si>
  <si>
    <t xml:space="preserve">            DoCmd.RunSQL "UPDATE TBL_Synergy SET TBL_Synergy.ReportingPeriod = '" &amp; Me.cmbReportingPeriod &amp; "' WHERE (((TBL_Synergy.ReportingPeriod) Is Null));"</t>
  </si>
  <si>
    <t>Sub sbSUMIFs()</t>
  </si>
  <si>
    <t>Dim LR, i As Long</t>
  </si>
  <si>
    <t>LR = ThisWorkbook.Sheets("RELIGARE").Range("A" &amp; Rows.count).End(xlUp).row</t>
  </si>
  <si>
    <t>LR = ThisWorkbook.Sheets("RELIGARE").Cells.Find("*", SearchOrder:=xlRows, SearchDirection:=xlPrevious).row</t>
  </si>
  <si>
    <t>'LR = ThisWorkbook.Sheets("Concentrix").Cells.Find("*", SearchOrder:=xlByRows, SearchDirection:=xlPrevious).row + 1</t>
  </si>
  <si>
    <t>For i = 2 To LR</t>
  </si>
  <si>
    <t>ThisWorkbook.Sheets("RELIGARE").Range("D" &amp; i).Value = Application.WorksheetFunction.SumIfs(Range("B2:B" &amp; LR), Range("A2:A" &amp; LR), Range("A" &amp; i).Value)</t>
  </si>
  <si>
    <t>'ThisWorkbook.Sheets("RELIGARE").Range("D" &amp; i).Value = Application.WorksheetFunction.SumIfs(Range("B2:B" &amp; LR), Range("A2:A" &amp; LR), "East")</t>
  </si>
  <si>
    <t>'ThisWorkbook.Sheets("Test").Range("S" &amp; i + 8).Value = Application.WorksheetFunction.SumIfs(Range("AB2:AB" &amp; LR), Range("AA2:AA" &amp; LR), "&gt;=1 jan-2017", Range("AA2:AA" &amp; LR), "&lt;=5 jan-2017")</t>
  </si>
  <si>
    <t>'ThisWorkbook.Sheets("Test").Range("T" &amp; i + 8).Value = Application.WorksheetFunction.SumIfs(Range("AC2:AC" &amp; LR), Range("AA2:AA" &amp; LR), "&gt;=1 jan-2017", Range("AA2:AA" &amp; LR), "&lt;=5 jan-2017")</t>
  </si>
  <si>
    <t>'ThisWorkbook.Sheets("Test").Range("U" &amp; i + 8).Value = Application.WorksheetFunction.SumIfs(Range("AD2:AD" &amp; LR), Range("AA2:AA" &amp; LR), "&gt;=1 jan-2017", Range("AA2:AA" &amp; LR), "&lt;=5 jan-2017")</t>
  </si>
  <si>
    <t>'ThisWorkbook.Sheets("Test").Range("V" &amp; i + 8).Value = Application.WorksheetFunction.SumIfs(Range("AE2:AE" &amp; LR), Range("AA2:AA" &amp; LR), "&gt;=1 jan-2017", Range("AA2:AA" &amp; LR), "&lt;=5 jan-2017")</t>
  </si>
  <si>
    <t>'ThisWorkbook.Sheets("Test").Range("W" &amp; i + 8).Value = Application.WorksheetFunction.SumIfs(Range("AF2:AF" &amp; LR), Range("AA2:AA" &amp; LR), "&gt;=1 jan-2017", Range("AA2:AA" &amp; LR), "&lt;=5 jan-2017")</t>
  </si>
  <si>
    <t>Next i</t>
  </si>
  <si>
    <t>Short Cut Keys:</t>
  </si>
  <si>
    <t>Insert a sheet:Alt+H+I+S</t>
  </si>
  <si>
    <t>Delete a sheet:Alt+H+D+S</t>
  </si>
  <si>
    <t>Rename a Sheet:Alt+H+O+R</t>
  </si>
  <si>
    <t>Hide a Sheet:Alt+H+O+U+S</t>
  </si>
  <si>
    <t>Unhide a Sheet:Alt+H+O+U+H</t>
  </si>
  <si>
    <t>Move a Sheet:Alt+H+O+M</t>
  </si>
  <si>
    <t>Protect a sheet:Alt+H+O+P</t>
  </si>
  <si>
    <t>UnProtect a sheet:Alt+H+O+P</t>
  </si>
  <si>
    <t>Insert a Row:Alt+H+I+R</t>
  </si>
  <si>
    <t>Delete a Row:Alt+H+D+R</t>
  </si>
  <si>
    <t>Insert a Column:Alt+H+I+C</t>
  </si>
  <si>
    <t>Delete a Column:Alt+H+D+C</t>
  </si>
  <si>
    <t>Insert a Cell(Shift Cells_Down):Alt+H+I+I</t>
  </si>
  <si>
    <t>Insert a Cell(Shift Cells_Right):Alt+H+I+I+I</t>
  </si>
  <si>
    <t>Delete a Cell(Shift Cells_Left):Alt+H+D+D</t>
  </si>
  <si>
    <t>Delete a Cell(Shift Cells_Up):Alt+H+D+D+U</t>
  </si>
  <si>
    <t>Row Height:Alt+H+O+H</t>
  </si>
  <si>
    <t>Column Width:Alt+H+O+W</t>
  </si>
  <si>
    <t>Auto Fit Row Height:Alt+H+O+A</t>
  </si>
  <si>
    <t>Auto Fit Column Width:Alt+H+O+W</t>
  </si>
  <si>
    <t>Hide Rows:Alt+H+O+U+R</t>
  </si>
  <si>
    <t>Unhide Rows:Alt+H+O+U+O</t>
  </si>
  <si>
    <t>Hide Columns:Alt+H+O+U+C</t>
  </si>
  <si>
    <t>Unhide Columns:Alt+H+O+U+L</t>
  </si>
  <si>
    <t>Tab Color:Alt+H+O+T+N=&gt;No Color</t>
  </si>
  <si>
    <t>Format a Cell:Ctrl+1/Alt+H+O+E</t>
  </si>
  <si>
    <t>Auto Sum:Alt+H+U+S</t>
  </si>
  <si>
    <t>Auto Average:Alt+H+U+A</t>
  </si>
  <si>
    <t>Max Number:Alt+H+U+M</t>
  </si>
  <si>
    <t>Min Number:Alt+H+U+I</t>
  </si>
  <si>
    <t>Count Numbers:Alt+H+U+C</t>
  </si>
  <si>
    <t>Fill a Series:Alt+H+F+I+S</t>
  </si>
  <si>
    <t>Justify:Alt+H+F+I+J</t>
  </si>
  <si>
    <t>=Vlookup(Lookup_Value,Table_array,Col_index_num,[range_lookup]</t>
  </si>
  <si>
    <t>RE:What is the diffrence between Do Until and Do While Loops in vba?</t>
  </si>
  <si>
    <t>In Do Until Loop,loop iterates one step lesser than as specified conditions while in case of Do While Loop,Loop iterates one step</t>
  </si>
  <si>
    <t>more than as specified conditions.</t>
  </si>
  <si>
    <t>Sub sbDoUntilLoops() 'Repeat the loop until condition is TRUE</t>
  </si>
  <si>
    <t>Dim i As Integer     'Odd Number Generation</t>
  </si>
  <si>
    <t>i = 1</t>
  </si>
  <si>
    <t>Do Until i &gt;= 20</t>
  </si>
  <si>
    <t>'Do While i &lt;= 20</t>
  </si>
  <si>
    <t xml:space="preserve">    Cells(i, 1).Value = i</t>
  </si>
  <si>
    <t xml:space="preserve">    i = i + 2</t>
  </si>
  <si>
    <t>Loop</t>
  </si>
  <si>
    <t>Sub sbDoUntilLoop8() 'Repeat the loop until condition is TRUE</t>
  </si>
  <si>
    <t>Dim i As Integer 'Even Number generation</t>
  </si>
  <si>
    <t>i = 2</t>
  </si>
  <si>
    <t xml:space="preserve">    Cells(i, 2).Value = i</t>
  </si>
  <si>
    <t>Sub sbStatuss()</t>
  </si>
  <si>
    <t>Sheet20.Cells(1, 13).Value = "Number"</t>
  </si>
  <si>
    <t>Sheet20.Cells(1, 14).Value = "Status"</t>
  </si>
  <si>
    <t>For i = 1 To 20</t>
  </si>
  <si>
    <t>Sheet20.Cells(i + 1, 13).Value = i</t>
  </si>
  <si>
    <t>If Range("M" &amp; i + 1).Value Mod 2 = 0 Then Range("M" &amp; i + 1).Offset(, 1).Value = "Even"</t>
  </si>
  <si>
    <t>If Range("M" &amp; i + 1).Value Mod 2 = 1 Then Range("M" &amp; i + 1).Offset(, 1).Value = "Odd"</t>
  </si>
  <si>
    <t>If Range("N" &amp; i + 1).Value = "Odd" Then Range("N" &amp; i + 1).Font.Color = vbYellow</t>
  </si>
  <si>
    <t>If Range("N" &amp; i + 1).Value = "Even" Then Range("N" &amp; i + 1).Font.Color = vbRed</t>
  </si>
  <si>
    <t>If Range("N" &amp; i + 1).Value = "Odd" Then Range("N" &amp; i + 1).Interior.Color = vbWhite</t>
  </si>
  <si>
    <t>If Range("N" &amp; i + 1).Value = "Even" Then Range("N" &amp; i + 1).Interior.Color = vbWhite</t>
  </si>
  <si>
    <t>If Range("N" &amp; i + 1).Value = "Odd" Then Range("N" &amp; i + 1).Borders.Color = vbYellow</t>
  </si>
  <si>
    <t>If Range("N" &amp; i + 1).Value = "Even" Then Range("N" &amp; i + 1).Borders.Color = vbGreen</t>
  </si>
  <si>
    <t>Sub sbTable()</t>
  </si>
  <si>
    <t>Dim i, j As Long</t>
  </si>
  <si>
    <t>For i = 1 To 10</t>
  </si>
  <si>
    <t>Cells(1, i).Value = i</t>
  </si>
  <si>
    <t>For i = 2 To 10</t>
  </si>
  <si>
    <t>Cells(i, "A").Value = i * 1</t>
  </si>
  <si>
    <t>Cells(i, "B").Value = i * 2</t>
  </si>
  <si>
    <t>Cells(i, "C").Value = i * 3</t>
  </si>
  <si>
    <t>Cells(i, "D").Value = i * 4</t>
  </si>
  <si>
    <t>Cells(i, "E").Value = i * 5</t>
  </si>
  <si>
    <t>Cells(i, "F").Value = i * 6</t>
  </si>
  <si>
    <t>Cells(i, "G").Value = i * 7</t>
  </si>
  <si>
    <t>Cells(i, "H").Value = i * 8</t>
  </si>
  <si>
    <t>Cells(i, "I").Value = i * 9</t>
  </si>
  <si>
    <t>Cells(i, "J").Value = i * 10</t>
  </si>
  <si>
    <t>Sub sbNonBlankCells() 'It will select Non-Blank Cells in Active Sheet</t>
  </si>
  <si>
    <t>Dim LR, LC As Long</t>
  </si>
  <si>
    <t>LR = Cells(1048576, 1).End(xlUp).row</t>
  </si>
  <si>
    <t>LC = Cells(1, 16384).End(xlToLeft).column</t>
  </si>
  <si>
    <t>Range(Cells(1, 1), Cells(LR, LC)).SpecialCells(xlCellTypeConstants).Select</t>
  </si>
  <si>
    <t>ThisWorkbook.Sheets("SS").Range("S9").Value = Application.WorksheetFunction.Text(Now(), "dddd")</t>
  </si>
  <si>
    <t>ThisWorkbook.Sheets("SS").Range("S11").Value = Application.WorksheetFunction.Text(Now(), "mmmm")</t>
  </si>
  <si>
    <t>ThisWorkbook.Sheets("SS").Range("S12").Value = Application.WorksheetFunction.Text(Now(), "yyyy")</t>
  </si>
  <si>
    <t>ThisWorkbook.Sheets("SS").Range("S10").Value = Application.WorksheetFunction.Text(Now(), "dd" &amp; "-mmmm'yy")</t>
  </si>
  <si>
    <t>ThisWorkbook.Sheets("SS").Range("S11").Value = Application.WorksheetFunction.Text(Now(), "mmmm'yy")</t>
  </si>
  <si>
    <t>ThisWorkbook.Sheets("SS").Range("S12").Value = Application.WorksheetFunction.Text(Now(), "mmm'yy")</t>
  </si>
  <si>
    <t>Sub sbDeleteVisibleCell() 'It will Delete a particular data as per mentioned criteria</t>
  </si>
  <si>
    <t>Dim LR As Integer</t>
  </si>
  <si>
    <t>With Application</t>
  </si>
  <si>
    <t>.AskToUpdateLinks = False: .Calculation = xlCalculationManual: .DisplayAlerts = False: .ScreenUpdating = False</t>
  </si>
  <si>
    <t>End With</t>
  </si>
  <si>
    <t>If ActiveSheet.AutoFilterMode = True Then ActiveSheet.AutoFilterMode = False</t>
  </si>
  <si>
    <t>Range("A1:G1").AutoFilter Field:=1, Criteria1:=Array("A", "B", "C"), Operator:=xlFilterValues</t>
  </si>
  <si>
    <t>LR = ActiveSheet.UsedRange.SpecialCells(xlCellTypeVisible).Rows.count</t>
  </si>
  <si>
    <t>If LR &gt; 1 Then</t>
  </si>
  <si>
    <t>ActiveSheet.UsedRange.Offset(1, 0).SpecialCells(xlCellTypeVisible).Delete</t>
  </si>
  <si>
    <t>End If</t>
  </si>
  <si>
    <t>.AskToUpdateLinks = True: .Calculation = xlCalculationAutomatic: .DisplayAlerts = True: .ScreenUpdating = True</t>
  </si>
  <si>
    <t>Sub sbFindEmptySheets() 'It will find all empty sheets in ThisWorkbook</t>
  </si>
  <si>
    <t>Dim ws As Worksheet, wsname As String</t>
  </si>
  <si>
    <t>'For Each ws In ActiveWorkbook.Worksheets</t>
  </si>
  <si>
    <t>For Each ws In ThisWorkbook.Worksheets</t>
  </si>
  <si>
    <t>'If WorksheetFunction.CountA(ws.Cells) = 0 Then MsgBox ws.name</t>
  </si>
  <si>
    <t>If WorksheetFunction.CountA(ws.Cells) = 0 Then wsname = ws.name</t>
  </si>
  <si>
    <t>'If WorksheetFunction.CountA(ws.Cells) = 0 Then Debug.Print ws.Name</t>
  </si>
  <si>
    <t>If WorksheetFunction.CountA(ws.Cells) = 0 Then ws.Delete  'To Delete Blank Sheet</t>
  </si>
  <si>
    <t>Next ws</t>
  </si>
  <si>
    <t>MsgBox wsname &amp; "-Blank Sheet Deleted"</t>
  </si>
  <si>
    <t>Re:=&gt;What is the VBA editor?</t>
  </si>
  <si>
    <t xml:space="preserve">By Vangie Beal Abbreviated as VBE, Visual Basic Editor is the tool used to create, modify and maintain Visual Basic for Applications (VBA) procedures and modules in Microsoft Office applications. </t>
  </si>
  <si>
    <t>The Visual Basic Editor is included with most Office programs.</t>
  </si>
  <si>
    <t xml:space="preserve">Sub sbCopyTranspose() </t>
  </si>
  <si>
    <t xml:space="preserve">Sheet1.Range(“A2,A4,A7”).Copy Sheet3.Range(“A2”).PasteSpecial , Transpose:=True </t>
  </si>
  <si>
    <t>End Sub.</t>
  </si>
  <si>
    <t>Sub sbDeleteVisibleCells()</t>
  </si>
  <si>
    <t>.AskupdateToLinks:=False</t>
  </si>
  <si>
    <t>.Calculation=xlMannual</t>
  </si>
  <si>
    <t>.DisplayAletrs:=False</t>
  </si>
  <si>
    <t>.ScreenUpdating:=False</t>
  </si>
  <si>
    <t>If ActiveSheet.AutoFilterMode=True then ActiveSheet.AutoFilterMode=False</t>
  </si>
  <si>
    <t>Range("A1:G1").AutoFilter Field:=3,Criteria1:=Array("A","B","C"),Operator:=xlfiltervalues</t>
  </si>
  <si>
    <t>ActiveSheet.UsedRange.Offset(1,0).SpecialCells(xlCellTypevisible).Delete</t>
  </si>
  <si>
    <t>.AskupdateToLinks:=True</t>
  </si>
  <si>
    <t>.Calculation=xlAutomatic</t>
  </si>
  <si>
    <t>.DisplayAletrs:=True</t>
  </si>
  <si>
    <t>.ScreenUpdating:=True</t>
  </si>
  <si>
    <t>Sub sbTest()</t>
  </si>
  <si>
    <t>Dim i As Long, ii As Long, n As Long, LastR As Range</t>
  </si>
  <si>
    <t>Application.ScreenUpdating = False</t>
  </si>
  <si>
    <t>With Sheets("Set 1")</t>
  </si>
  <si>
    <t xml:space="preserve">    For i = 2 To .Range("a" &amp; Rows.Count).End(xlUp).Row Step 7</t>
  </si>
  <si>
    <t xml:space="preserve">        Set LastR = Sheets("EIS").Cells(1)</t>
  </si>
  <si>
    <t xml:space="preserve">        If Not IsEmpty(LastR) Then</t>
  </si>
  <si>
    <t xml:space="preserve">            Set LastR = Sheets("EIS").Range("A" &amp; Rows.Count).End(xlUp)(2)</t>
  </si>
  <si>
    <t xml:space="preserve">        End If</t>
  </si>
  <si>
    <t xml:space="preserve">        .Cells(i, 1).Resize(3, 2).Copy LastR</t>
  </si>
  <si>
    <t xml:space="preserve">        LastR(, 3).Resize(3).Value = [{"applies";"weekend";"weekday"}]</t>
  </si>
  <si>
    <t xml:space="preserve">        For ii = 20 To 18 Step -1</t>
  </si>
  <si>
    <t xml:space="preserve">            .Cells(i, ii).Resize(7).Copy</t>
  </si>
  <si>
    <t xml:space="preserve">            LastR(21 - ii, 4).PasteSpecial Transpose:=True</t>
  </si>
  <si>
    <t xml:space="preserve">        Next</t>
  </si>
  <si>
    <t xml:space="preserve">    Next</t>
  </si>
  <si>
    <t>Application.ScreenUpdating = True</t>
  </si>
  <si>
    <t xml:space="preserve">    Dim i As Long, ii As Long, n As Long, LastR As Range</t>
  </si>
  <si>
    <t xml:space="preserve">    Const mySize As Long = 4  '&lt;- change</t>
  </si>
  <si>
    <t xml:space="preserve">    Application.ScreenUpdating = False</t>
  </si>
  <si>
    <t xml:space="preserve">    With Sheets("Set 1")</t>
  </si>
  <si>
    <t xml:space="preserve">        For i = 2 To .Range("a" &amp; Rows.Count).End(xlUp).Row Step mySize</t>
  </si>
  <si>
    <t xml:space="preserve">            Set LastR = Sheets("EIS").Cells(1)</t>
  </si>
  <si>
    <t xml:space="preserve">            If Not IsEmpty(LastR) Then</t>
  </si>
  <si>
    <t xml:space="preserve">                Set LastR = Sheets("EIS").Range("a" &amp; Rows.Count).End(xlUp)(2)</t>
  </si>
  <si>
    <t xml:space="preserve">            End If</t>
  </si>
  <si>
    <t xml:space="preserve">            .Cells(i, 1).Resize(3, 2).Copy LastR</t>
  </si>
  <si>
    <t xml:space="preserve">            LastR(, 3).Resize(3).Value = [{"applies";"weekend";"weekday"}]</t>
  </si>
  <si>
    <t xml:space="preserve">            For ii = 20 To 18 Step -1</t>
  </si>
  <si>
    <t xml:space="preserve">                .Cells(i, ii).Resize(mySize).Copy</t>
  </si>
  <si>
    <t xml:space="preserve">                LastR(21 - ii, 4).PasteSpecial Transpose:=True</t>
  </si>
  <si>
    <t xml:space="preserve">            Next</t>
  </si>
  <si>
    <t xml:space="preserve">    End With</t>
  </si>
  <si>
    <t xml:space="preserve">    Application.ScreenUpdating = True</t>
  </si>
  <si>
    <t>Sub test()</t>
  </si>
  <si>
    <t>Dim a, i As Long, ii As Long, w(), y, n As Long</t>
  </si>
  <si>
    <t>With Sheets("set 1")</t>
  </si>
  <si>
    <t xml:space="preserve">    a = .Range("a1", .Cells.SpecialCells(11)).Value</t>
  </si>
  <si>
    <t>With CreateObject("Scripting.Dictionary")</t>
  </si>
  <si>
    <t xml:space="preserve">    .CompareMode = 1</t>
  </si>
  <si>
    <t xml:space="preserve">    For i = 2 To UBound(a, 1)</t>
  </si>
  <si>
    <t xml:space="preserve">        If Not .exists(a(i, 1)) Then</t>
  </si>
  <si>
    <t xml:space="preserve">            ReDim w(1 To 4, 1 To 3)</t>
  </si>
  <si>
    <t xml:space="preserve">            For ii = 1 To 3</t>
  </si>
  <si>
    <t xml:space="preserve">                w(ii, 1) = a(i, 1)</t>
  </si>
  <si>
    <t xml:space="preserve">                w(ii, 2) = a(i, 2)</t>
  </si>
  <si>
    <t xml:space="preserve">                w(ii, 3) = Choose(ii, "applies", "weekend", "weekday")</t>
  </si>
  <si>
    <t xml:space="preserve">            w(4, 1) = 3</t>
  </si>
  <si>
    <t xml:space="preserve">            .Item(a(i, 1)) = w</t>
  </si>
  <si>
    <t xml:space="preserve">        w = .Item(a(i, 1))</t>
  </si>
  <si>
    <t xml:space="preserve">        w(4, 1) = w(4, 1) + 1</t>
  </si>
  <si>
    <t xml:space="preserve">        ReDim Preserve w(1 To 4, 1 To w(4, 1))</t>
  </si>
  <si>
    <t xml:space="preserve">            w(21 - ii, w(4, 1)) = a(i, ii)</t>
  </si>
  <si>
    <t xml:space="preserve">        .Item(a(i, 1)) = w</t>
  </si>
  <si>
    <t xml:space="preserve">    y = .items</t>
  </si>
  <si>
    <t>With Sheets("EIS").Cells(1)</t>
  </si>
  <si>
    <t xml:space="preserve">    .CurrentRegion.ClearContents</t>
  </si>
  <si>
    <t xml:space="preserve">    For i = 0 To UBound(y)</t>
  </si>
  <si>
    <t xml:space="preserve">        .Offset(n).Resize(3, UBound(y(i), 2)).Value = y(i)</t>
  </si>
  <si>
    <t xml:space="preserve">        n = n + 3</t>
  </si>
  <si>
    <t>Reverse-Vlookup:=&gt;</t>
  </si>
  <si>
    <t>Worksheets vs Sheets:=&gt;</t>
  </si>
  <si>
    <t>Sheets: collection of the Sheets of all types</t>
  </si>
  <si>
    <t>Worksheets: collection of Sheets of type Worksheet</t>
  </si>
  <si>
    <t>Charts: collection of Sheets of type Chart Sheet</t>
  </si>
  <si>
    <t>Worksheets Object</t>
  </si>
  <si>
    <t>Worksheets Object is a collection of all the Worksheet objects in the specified or active workbook. Each Worksheet object represents a worksheet. The Worksheet object is also a member of the Sheets collection. The Sheets collection contains all the sheets in the workbook (both chart sheets and worksheets).</t>
  </si>
  <si>
    <t>Sheets Object</t>
  </si>
  <si>
    <t>Sheets Object is a collection of all types of sheets in the specified or active workbook. The Sheets collection can contain Chart or Worksheet objects. Although today we only use 2 types of Sheets, Worksheets and Chart Sheets, there used to be 3 more types of Sheets, like Dialog Sheets or Macro Sheets. You may still have in your company old excel files that use them. In that case if you check the Sheets collection you'll seem them all there.</t>
  </si>
  <si>
    <t>Examples</t>
  </si>
  <si>
    <t>If a workbook has 4 worksheets and 1 chart sheet, in VBA:</t>
  </si>
  <si>
    <t>Sheets.Count will include both types: 5</t>
  </si>
  <si>
    <t>Worksheets.Count will include only worksheets: 4</t>
  </si>
  <si>
    <t>Note: In VBA you should use Worksheets() instead of Sheets() when referencing a sheet from another sheet in a formula.</t>
  </si>
  <si>
    <t>Sub sbCopyPasteUniqueValue()</t>
  </si>
  <si>
    <t>LR = Range("A" &amp; Rows.count).End(xlUp).Row</t>
  </si>
  <si>
    <t>'1st Method</t>
  </si>
  <si>
    <t>'With ThisWorkbook.Sheets("Sheet4")</t>
  </si>
  <si>
    <t>'.Range("A1", .Range("A1").End(xlDown)).Copy Destination:=.Range("E1")</t>
  </si>
  <si>
    <t>'.Range("E1", .Range("E1").End(xlDown)).RemoveDuplicates Columns:=1, Header:=xlNo</t>
  </si>
  <si>
    <t>'End With</t>
  </si>
  <si>
    <t>'2nd Method</t>
  </si>
  <si>
    <t>With ThisWorkbook.Sheets("Sheet4")</t>
  </si>
  <si>
    <t>.Range("A1", .Range("A1").End(xlDown)).AdvancedFilter Action:=xlFilterCopy, CopyToRange:=Range("E1"), Unique:=True</t>
  </si>
  <si>
    <t>.Range("E1").Delete shift:=xlShiftUp</t>
  </si>
  <si>
    <t xml:space="preserve"> End With</t>
  </si>
  <si>
    <t>Sub sbCopyPasteUnquevalues()</t>
  </si>
  <si>
    <t>Range("A2:A" &amp; LR).AdvancedFilter Action:=xlFilterCopy, CopyToRange:=Range("F2"), Unique:=True</t>
  </si>
  <si>
    <t>Range("F2").Delete shift:=xlShiftUp</t>
  </si>
  <si>
    <t>RE:What is VBA Editor in vba?</t>
  </si>
  <si>
    <t xml:space="preserve">Visual Basic Editor is the tool used to create, modify and maintain Visual Basic for Applications (VBA) procedures and modules in Microsoft Office applications. </t>
  </si>
  <si>
    <t>Re:How can we get distict values in a range in vba?</t>
  </si>
  <si>
    <t>Re:How to stop macro from going into infinite loop?</t>
  </si>
  <si>
    <t>To halt this infinite loop, press Esc or Ctrl + Break. The following dialog box will appear: 3. Click End to end the macro, click Debug to take a look at the macro in the Visual Basic Editor</t>
  </si>
  <si>
    <t>To halt this infinite loop, press Esc or Ctrl + Break. The following dialog box will appear: 3. Click End to end the macro, click Debug to take a look at the macro in the Visual Basic Editor.</t>
  </si>
  <si>
    <t>Sub sbTexts() 'It will extract texts only from a alphanumeric values</t>
  </si>
  <si>
    <t>Dim nNum As String, i, x, LR As Long</t>
  </si>
  <si>
    <t>LR = Range("A" &amp; Rows.Count).End(xlUp).Row</t>
  </si>
  <si>
    <t>For x = 1 To Len(Range("A" &amp; i).Value)</t>
  </si>
  <si>
    <t>If Not IsNumeric(Mid(Range("A" &amp; i).Value, x, 1)) = True Then nNum = nNum &amp; (Mid(Range("A" &amp; i).Value, x, 1))</t>
  </si>
  <si>
    <t>Next x</t>
  </si>
  <si>
    <t>Range("B" &amp; i).Value = nNum</t>
  </si>
  <si>
    <t>nNum = vbNullString  'It will make null/blank value</t>
  </si>
  <si>
    <t>Sub sbNumbers() 'It will extract numbers only from a alphanumeric values</t>
  </si>
  <si>
    <t>If IsNumeric(Mid(Range("A" &amp; i).Value, x, 1)) = True Then nNum = nNum &amp; (Mid(Range("A" &amp; i).Value, x, 1))</t>
  </si>
  <si>
    <t>Range("C" &amp; i).Value = nNum</t>
  </si>
  <si>
    <t>nNum = vbNullString 'It will make null/blank value</t>
  </si>
  <si>
    <t>=IF(COUNTIF($A$2:$A$750,B2)&gt;0,"Match","No ...</t>
  </si>
  <si>
    <t xml:space="preserve">    Dim a, e, x, n As Long</t>
  </si>
  <si>
    <t xml:space="preserve">    With Range("a1").CurrentRegion</t>
  </si>
  <si>
    <t xml:space="preserve">        a = .Value</t>
  </si>
  <si>
    <t xml:space="preserve">        With CreateObject("Scripting.Dictionary")</t>
  </si>
  <si>
    <t xml:space="preserve">            .CompareMode = 1</t>
  </si>
  <si>
    <t xml:space="preserve">            For Each e In a</t>
  </si>
  <si>
    <t xml:space="preserve">                If e &lt;&gt; "" Then .Item(e) = .Item(e) + 1</t>
  </si>
  <si>
    <t xml:space="preserve">            x = Application.Transpose(Array(.keys, .Items))</t>
  </si>
  <si>
    <t xml:space="preserve">            n = .Count</t>
  </si>
  <si>
    <t xml:space="preserve">        End With</t>
  </si>
  <si>
    <t xml:space="preserve">        With .Offset(, .Columns.Count + 2).Resize(n, 2)</t>
  </si>
  <si>
    <t xml:space="preserve">            .CurrentRegion.ClearContents</t>
  </si>
  <si>
    <t xml:space="preserve">            .Value = x</t>
  </si>
  <si>
    <t>RE:Copy and paste unique values from a given values?</t>
  </si>
  <si>
    <t xml:space="preserve">Sub CopyUnique() </t>
  </si>
  <si>
    <t>Dim s1,s2 As Worksheet</t>
  </si>
  <si>
    <t xml:space="preserve">Set s1 = Sheets("Main") </t>
  </si>
  <si>
    <t xml:space="preserve">Set s2 = Sheets("Count") </t>
  </si>
  <si>
    <t xml:space="preserve">s1.Range("B:B").Copy s2.Range("A1") </t>
  </si>
  <si>
    <t xml:space="preserve">s2.Range("A:A").RemoveDuplicates Columns:=1, Header:=xlNo </t>
  </si>
  <si>
    <t xml:space="preserve">End Sub </t>
  </si>
  <si>
    <t>Count unique values in a range with COUNTIF?</t>
  </si>
  <si>
    <t>RE:What is main diffrence between thisworkbook and activeworkbook?</t>
  </si>
  <si>
    <t xml:space="preserve">Activeworkbook.name is used to get the name of the active workbook from n different number of opened workbooks. Thisworkbook.name is used to get the name of the workbook in which the code is written or stored in the module of that workbook. </t>
  </si>
  <si>
    <t xml:space="preserve">E.g if you are writing the code in the module or sheet of workbook </t>
  </si>
  <si>
    <t>Re:What is object in vba?</t>
  </si>
  <si>
    <t>VBA object is something like a thing that has certain functions, properties, and can contain data or child objects.</t>
  </si>
  <si>
    <t xml:space="preserve">Object Hierarchy. In Excel VBA, an object can contain another object, and that object can contain another object, etc. </t>
  </si>
  <si>
    <t xml:space="preserve">In other words, Excel VBA programming involves working with an object hierarchy. ... The Workbook object contains other objects, </t>
  </si>
  <si>
    <t>such as the Worksheet object</t>
  </si>
  <si>
    <t>What are the properties of methods?</t>
  </si>
  <si>
    <t xml:space="preserve">A method in object-oriented programming (OOP) is a procedure associated with a message and an object. </t>
  </si>
  <si>
    <t>An object is mostly made up of data and behavior, which form the interface that an object presents to the outside world. Data is represented as properties of the object and behavior as methods.</t>
  </si>
  <si>
    <t>Re:What is the object in VBA?</t>
  </si>
  <si>
    <t xml:space="preserve">The term Excel Objects (collectively referred to as the Excel Object Model) refers to the entities that make up an </t>
  </si>
  <si>
    <t>Excel workbook, such as Worksheets, Rows, Columns, Cell Ranges, and the Excel Workbook itself. ...</t>
  </si>
  <si>
    <t>Excel VBA has a special type of object, called a Collection.</t>
  </si>
  <si>
    <t>Re:What is object method?</t>
  </si>
  <si>
    <t>A method in object-oriented programming is a procedure associated with a class. A method defines the behavior of the</t>
  </si>
  <si>
    <t xml:space="preserve">objects that are created from the class. Another way to say this is that a method is an action that an object is able </t>
  </si>
  <si>
    <t>to perform. The association between method and class is called binding.</t>
  </si>
  <si>
    <t>Re:What is property of an object?</t>
  </si>
  <si>
    <t xml:space="preserve">An object is a collection of properties, and a property is an association between a name (or key) and a value. </t>
  </si>
  <si>
    <t xml:space="preserve">A property's value can be a function, in which case the property is known as a method. In addition to objects that are </t>
  </si>
  <si>
    <t>predefined in the browser, you can define your own objects.</t>
  </si>
  <si>
    <t>Re:What is a class and object?</t>
  </si>
  <si>
    <t xml:space="preserve">In object-oriented programming , a class is a template definition of the methods and variables in a particular kind </t>
  </si>
  <si>
    <t>of object . Thus, an object is a specific instance of a class; it contains real values instead of variables. The class is one of the defining ideas of object-oriented programming.</t>
  </si>
  <si>
    <t>Re:What is Com in programming?</t>
  </si>
  <si>
    <t>Component Object Model (COM) is a binary-interface standard for software components introduced by Microsoft in 1993.</t>
  </si>
  <si>
    <t>It is used to enable inter-process communication object creation in a large range of programming languages.</t>
  </si>
  <si>
    <t>Re:What is the difference between an object and a class?</t>
  </si>
  <si>
    <t xml:space="preserve">An object is a member or an "instance" of a class. An object has a state in which all of its properties have values </t>
  </si>
  <si>
    <t>that you either explicitly define or that are defined by default settings. This subtle conceptual difference between classes and objects shows why there is a tendency to want to use them interchangeably.</t>
  </si>
  <si>
    <t>Re:How can we set an object of a workbook or worksheet in excel vba?</t>
  </si>
  <si>
    <t xml:space="preserve">In the macro. Once you have defined the object variables, you can assign a worksheet or a workbook to the variable </t>
  </si>
  <si>
    <t>using the Set command.</t>
  </si>
  <si>
    <t>RE:What is diffrence Activeworkbook and Thisworkbook in vba?</t>
  </si>
  <si>
    <t xml:space="preserve">If the macro and data are in the same excel file you can use ThisWorkbook; If the macro and data are in separate files </t>
  </si>
  <si>
    <t>you can use ActiveWorkbook or specify which Item in the Workbooks collection.</t>
  </si>
  <si>
    <t>ThisWorkBook object refers to the workbook that the code is contained in. ActiveWorkBook object refers to the workbook</t>
  </si>
  <si>
    <t>that is currently active. Most times, they will refer to the same workbook. But if the workbook running the code is not the active workbook then they will point to different objects</t>
  </si>
  <si>
    <t>ThisWorkBook object refers to the workbook in which the macro code is contained. ActiveWorkBook object refers to the workbook that is currently active.</t>
  </si>
  <si>
    <t>ThisWorkbook refers to the workbook where code is being written while ActiveWorkbook refers to the workbook which is in active state with active window. In case of only one workbook open,</t>
  </si>
  <si>
    <t>Workbook events are done (code writes here) in Thisworkbook while all Worksheet events are done in all worksheets or ActiveSheet.</t>
  </si>
  <si>
    <t>Re:What is the difference in using: ThisWorkbook.Path -vs- ActiveWorkbook.Path Or any of the other Properties or Methods?</t>
  </si>
  <si>
    <t>Re:What is Library in vba?</t>
  </si>
  <si>
    <t>Function findArea(Length As Double, Optional Width As Variant)</t>
  </si>
  <si>
    <t xml:space="preserve">   If IsMissing(Width) Then</t>
  </si>
  <si>
    <t xml:space="preserve">      findArea = Length * Length</t>
  </si>
  <si>
    <t xml:space="preserve">   Else</t>
  </si>
  <si>
    <t xml:space="preserve">      findArea = Length * Width</t>
  </si>
  <si>
    <t xml:space="preserve">   End If</t>
  </si>
  <si>
    <t>End Function</t>
  </si>
  <si>
    <t xml:space="preserve">Private Sub Constant_demo_Click() </t>
  </si>
  <si>
    <t xml:space="preserve">   Const MyInteger As Integer = 42 </t>
  </si>
  <si>
    <t xml:space="preserve">   Const myDate As Date = #2/2/2020# </t>
  </si>
  <si>
    <t xml:space="preserve">   Const myDay As String = "Sunday" </t>
  </si>
  <si>
    <t xml:space="preserve">   </t>
  </si>
  <si>
    <t xml:space="preserve">   MsgBox "Integer is " &amp; MyInteger &amp; Chr(10) &amp; "myDate is " </t>
  </si>
  <si>
    <t xml:space="preserve">      &amp; myDate &amp; Chr(10) &amp; "myDay is " &amp; myDay  </t>
  </si>
  <si>
    <t>VBA - Excel Objects:=&gt;</t>
  </si>
  <si>
    <t>When programming using VBA, there are few important objects that a user would be dealing with.</t>
  </si>
  <si>
    <t>•</t>
  </si>
  <si>
    <t>Sub sbActiveCell() 'It will apply filter based on Active Cell</t>
  </si>
  <si>
    <t>LR = ActiveCell.row: LC = ActiveCell.column</t>
  </si>
  <si>
    <t>ThisWorkbook.Sheets("Suri").Range("A1:J1").AutoFilter Field:=LC, Criteria1:=ActiveCell.Value</t>
  </si>
  <si>
    <t>Sub sbRenames() 'It will check sheet name and rename it at the last of sheet</t>
  </si>
  <si>
    <t>Dim ws As Worksheet</t>
  </si>
  <si>
    <t>For Each ws In Worksheets</t>
  </si>
  <si>
    <t xml:space="preserve"> If Not ws.name = "Summary" Then ws.name = "Summary"</t>
  </si>
  <si>
    <t>Sub sbSearch_Loops() 'It will search a particular string and if found then exit from loop</t>
  </si>
  <si>
    <t>Dim c As Variant</t>
  </si>
  <si>
    <t>For Each c In Range("J2:J" &amp; Cells(Rows.count, "J").End(xlUp).row)</t>
  </si>
  <si>
    <t>If c.Value = "Yadav" Then MsgBox c.Value: Exit Sub</t>
  </si>
  <si>
    <t>Next c</t>
  </si>
  <si>
    <t>Sub sbRename() 'It will check sheet name and rename it at the last of sheet</t>
  </si>
  <si>
    <t>For Each c In Range("A2:A" &amp; Cells(Rows.count, "A").End(xlUp).row)</t>
  </si>
  <si>
    <t>Sub sbEvenTables() 'Concentrix Test</t>
  </si>
  <si>
    <t>ThisWorkbook.Sheets("Tables").Range("A1").Value = "Odd Tables"</t>
  </si>
  <si>
    <t>ThisWorkbook.Sheets("Tables").Range("I1").Value = "Even Tables"</t>
  </si>
  <si>
    <t>Dim i As Long</t>
  </si>
  <si>
    <t>'Odd Tables</t>
  </si>
  <si>
    <t>ThisWorkbook.Sheets("Tables").Range("A" &amp; i + 1).Value = i * 1</t>
  </si>
  <si>
    <t>ThisWorkbook.Sheets("Tables").Range("B" &amp; i + 1).Value = i * 3</t>
  </si>
  <si>
    <t>ThisWorkbook.Sheets("Tables").Range("C" &amp; i + 1).Value = i * 5</t>
  </si>
  <si>
    <t>ThisWorkbook.Sheets("Tables").Range("D" &amp; i + 1).Value = i * 7</t>
  </si>
  <si>
    <t>ThisWorkbook.Sheets("Tables").Range("E" &amp; i + 1).Value = i * 9</t>
  </si>
  <si>
    <t>ThisWorkbook.Sheets("Tables").Range("F" &amp; i + 1).Value = i * 11</t>
  </si>
  <si>
    <t>'Even Tables</t>
  </si>
  <si>
    <t>ThisWorkbook.Sheets("Tables").Range("I" &amp; i + 1).Value = i * 2</t>
  </si>
  <si>
    <t>ThisWorkbook.Sheets("Tables").Range("J" &amp; i + 1).Value = i * 4</t>
  </si>
  <si>
    <t>ThisWorkbook.Sheets("Tables").Range("K" &amp; i + 1).Value = i * 6</t>
  </si>
  <si>
    <t>ThisWorkbook.Sheets("Tables").Range("L" &amp; i + 1).Value = i * 8</t>
  </si>
  <si>
    <t>ThisWorkbook.Sheets("Tables").Range("M" &amp; i + 1).Value = i * 10</t>
  </si>
  <si>
    <t>ThisWorkbook.Sheets("Tables").Range("N" &amp; i + 1).Value = i * 12</t>
  </si>
  <si>
    <t>wkb1.Sheets(15).Activate</t>
  </si>
  <si>
    <t>wkb1.Sheets(15).Range("A1:AU1").AutoFilter Field:=47, Criteria1:="&lt;&gt;#N/A"</t>
  </si>
  <si>
    <t>wkb1.Sheets(15).Range("A1", Cells(65536, Cells(1, 256).End(xlToLeft).Column).End(xlUp)).SpecialCells(xlCellTypeVisible).Copy</t>
  </si>
  <si>
    <t>wkb1.Sheets(17).Range("A1").PasteSpecial xlPasteValuesAndNumberFormats</t>
  </si>
  <si>
    <t>wkb1.Sheets(13).Activate</t>
  </si>
  <si>
    <t>wkb1.Sheets(1).Range("D83").Value = wkb1.Sheets(13).Range("G:G").SpecialCells(xlCellTypeConstants).Rows.Count - 1</t>
  </si>
  <si>
    <t>GIS Tools:MapInfo,ArcInfo</t>
  </si>
  <si>
    <t>12-23-su=&gt;=RIGHT(J32,LEN(J32)-FIND("-",J32,1)-1-FIND("-",J33,1)+1)</t>
  </si>
  <si>
    <t>12-23-surendra=&gt;=RIGHT(J33,LEN(J33)-FIND("-",J33,1)-1-FIND("-",J33,1)+1)</t>
  </si>
  <si>
    <t>23-21-suri=&gt;=RIGHT(J33,LEN(J33)-FIND("-",J33,1)-1-FIND("-",J33,1)+1)</t>
  </si>
  <si>
    <t>Sub sbActiveSheetName() 'How to display ActiveSheet Name ?/It will display a particular sheet name</t>
  </si>
  <si>
    <t>Dim ws As Worksheet, sht As String</t>
  </si>
  <si>
    <t>sht = InputBox("Enter your sheet name please")</t>
  </si>
  <si>
    <t>'If ws.name = "Suri" Then MsgBox ws.name</t>
  </si>
  <si>
    <t>If ws.name = sht Then MsgBox ws.name</t>
  </si>
  <si>
    <t>Sub sbWBName() 'It will display first worksheet name</t>
  </si>
  <si>
    <t>Dim wb As Workbook</t>
  </si>
  <si>
    <t>Set wb = ActiveWorkbook</t>
  </si>
  <si>
    <t>MsgBox wb.Sheets(1).name</t>
  </si>
  <si>
    <t>ThisWorkbook.Sheets(1).Activate 'It will activate first worksheet</t>
  </si>
  <si>
    <t>Sub sbWBNames() 'It will display last worksheet name</t>
  </si>
  <si>
    <t>Dim count As Integer, wb As Workbook</t>
  </si>
  <si>
    <t>count = ThisWorkbook.Sheets.count</t>
  </si>
  <si>
    <t>MsgBox wb.Sheets(count).name</t>
  </si>
  <si>
    <t>MsgBox wb.Sheets(count).Activate</t>
  </si>
  <si>
    <t>MsgBox wb.Sheets(count).Select</t>
  </si>
  <si>
    <t>ThisWorkbook.Sheets(count).Activate 'It will activate last worksheet</t>
  </si>
  <si>
    <t>Sub sbReplaced()</t>
  </si>
  <si>
    <t>Dim cell As Object</t>
  </si>
  <si>
    <t>For Each cell In ThisWorkbook.Sheets("NewHireForm").UsedRange</t>
  </si>
  <si>
    <t>If cell.Value = "A" Then cell.Value = "X"</t>
  </si>
  <si>
    <t>If cell.Value = "B" Then cell.Value = "Y"</t>
  </si>
  <si>
    <t>If cell.Value = "C" Then cell.Value = "Z"</t>
  </si>
  <si>
    <t>Next cell</t>
  </si>
  <si>
    <t>Sub sbAutoSum()</t>
  </si>
  <si>
    <t>Dim i, j, num As Integer</t>
  </si>
  <si>
    <t>num = InputBox("Enter your number here")</t>
  </si>
  <si>
    <t>For i = 1 To num</t>
  </si>
  <si>
    <t>j = i + j</t>
  </si>
  <si>
    <t>MsgBox j</t>
  </si>
  <si>
    <t>Sub sbSlabs()</t>
  </si>
  <si>
    <t>Dim i, j, LR1, LR2 As Long</t>
  </si>
  <si>
    <t>LR1 = ThisWorkbook.Sheets("Suri").Cells(1048576, 1).End(xlUp).row</t>
  </si>
  <si>
    <t>ThisWorkbook.Sheets("Suri").Range("A2:A" &amp; LR1).ClearContents</t>
  </si>
  <si>
    <t>ThisWorkbook.Sheets("Suri").Range("A2:A" &amp; LR1).ClearFormats</t>
  </si>
  <si>
    <t>For i = 1 To 30</t>
  </si>
  <si>
    <t>Range("A" &amp; i + 1).Value = i</t>
  </si>
  <si>
    <t>LR2 = ThisWorkbook.Sheets("Suri").Cells(1048576, 1).End(xlUp).row</t>
  </si>
  <si>
    <t>For j = 2 To LR2</t>
  </si>
  <si>
    <t>If Range("A" &amp; j).Value &lt;= 5 Then</t>
  </si>
  <si>
    <t>Range("B" &amp; j).Value = "'0-5"</t>
  </si>
  <si>
    <t>ElseIf Range("A" &amp; j).Value &lt;= 10 Then</t>
  </si>
  <si>
    <t>Range("B" &amp; j).Value = "'5-10"</t>
  </si>
  <si>
    <t>ElseIf Range("A" &amp; j).Value &lt;= 15 Then</t>
  </si>
  <si>
    <t>Range("B" &amp; j).Value = "'10-15"</t>
  </si>
  <si>
    <t>ElseIf Range("A" &amp; j).Value &lt;= 20 Then</t>
  </si>
  <si>
    <t>Range("B" &amp; j).Value = "'15-20"</t>
  </si>
  <si>
    <t>ElseIf Range("A" &amp; j).Value &lt;= 25 Then</t>
  </si>
  <si>
    <t>Range("B" &amp; j).Value = "'20-25"</t>
  </si>
  <si>
    <t>ElseIf Range("A" &amp; j).Value &lt;= 30 Then</t>
  </si>
  <si>
    <t>Range("B" &amp; j).Value = "'25-30"</t>
  </si>
  <si>
    <t>Next j</t>
  </si>
  <si>
    <t>Sub sbDelete()</t>
  </si>
  <si>
    <t>'It will delete every second row by using Do Until Loop</t>
  </si>
  <si>
    <t>LR = ThisWorkbook.Sheets("NewHireForm").Cells(1048576, 17).End(xlUp).row</t>
  </si>
  <si>
    <t>Do Until Range("Q" &amp; i).Value = vbNullString</t>
  </si>
  <si>
    <t>Rows(i).Delete</t>
  </si>
  <si>
    <t>i = i + 2</t>
  </si>
  <si>
    <t>Sub sbDeletes()</t>
  </si>
  <si>
    <t>'It will delete every second row by using Do While Loop</t>
  </si>
  <si>
    <t>LR = ThisWorkbook.Sheets("Suri").Cells(1048576, 17).End(xlUp).row</t>
  </si>
  <si>
    <t>Do While Range("Q" &amp; i).Value &lt;&gt; vbNullString</t>
  </si>
  <si>
    <t>Sub sbDeletess()</t>
  </si>
  <si>
    <t>'Rows(i).Delete</t>
  </si>
  <si>
    <t>Cells(i).Delete shift:=xlUp</t>
  </si>
  <si>
    <t>Sub sbStatus()</t>
  </si>
  <si>
    <t>LR = Range("A" &amp; Rows.count).End(xlUp).row</t>
  </si>
  <si>
    <t>'If Range("A" &amp; i).Value Mod 2 = 0 Then Range("A" &amp; i).Font.Color = vbYellow</t>
  </si>
  <si>
    <t>'If Range("A" &amp; i).Value Mod 2 = 1 Then Range("A" &amp; i).Font.Color = vbGreen</t>
  </si>
  <si>
    <t>If Range("A" &amp; i).Value Mod 2 = 0 Then Range("A" &amp; i).Offset(, 2).Value = "Even"</t>
  </si>
  <si>
    <t>If Range("A" &amp; i).Value Mod 2 = 1 Then Range("A" &amp; i).Offset(, 2).Value = "Odd"</t>
  </si>
  <si>
    <t>If Range("C" &amp; i).Value = "Odd" Then Range("C" &amp; i).Font.Color = vbYellow</t>
  </si>
  <si>
    <t>If Range("C" &amp; i).Value = "Even" Then Range("C" &amp; i).Font.Color = vbRed</t>
  </si>
  <si>
    <t>Sub sbText()</t>
  </si>
  <si>
    <t>Sheet14.Range("N1:T1").MergeCells = True</t>
  </si>
  <si>
    <t>Sheet14.Range("N1:T1").MergeCells = False</t>
  </si>
  <si>
    <t>Sheet14.Range("N1:T1").Merge</t>
  </si>
  <si>
    <t>Sheet14.Range("N1:T1").UnMerge</t>
  </si>
  <si>
    <t>Sheet14.Range("N1").Value = "Text"</t>
  </si>
  <si>
    <t>'Sheet14.Range("N1").VerticalAlignment = xlCenter</t>
  </si>
  <si>
    <t>Sheet14.Range("N1").HorizontalAlignment = xlCenter</t>
  </si>
  <si>
    <t>Sheet14.Cells(i + 1, 13).Value = "A" &amp; i</t>
  </si>
  <si>
    <t>Sheet14.Cells(i + 1, 14).Value = "B" &amp; i</t>
  </si>
  <si>
    <t>Sheet14.Cells(i + 1, 15).Value = "C" &amp; i</t>
  </si>
  <si>
    <t>Sheet14.Cells(i + 1, 16).Value = "D" &amp; i</t>
  </si>
  <si>
    <t>Sheet14.Cells(i + 1, 17).Value = "E" &amp; i</t>
  </si>
  <si>
    <t>Sheet14.Cells(i + 1, 18).Value = "F" &amp; i</t>
  </si>
  <si>
    <t>Sheet14.Cells(i + 1, 19).Value = "G" &amp; i</t>
  </si>
  <si>
    <t>Sheet14.Cells(i + 1, 20).Value = "H" &amp; i</t>
  </si>
  <si>
    <t>Sub sbRangeObject()</t>
  </si>
  <si>
    <t>Dim rng, cell As Range, Selectedrng As String</t>
  </si>
  <si>
    <t>Selectedrng = InputBox("Enter your range here")</t>
  </si>
  <si>
    <t>Set rng = Range(Selectedrng)</t>
  </si>
  <si>
    <t>For Each cell In rng</t>
  </si>
  <si>
    <t>If cell.Value &lt;= 5 Then cell.Font.ColorIndex = 5</t>
  </si>
  <si>
    <t>If cell.Value &gt;= 8 Then cell.Font.ColorIndex = 3</t>
  </si>
  <si>
    <t>Private Sub Worksheet_BeforeDoubleClick(ByVal Target As Range, Cancel As Boolean)</t>
  </si>
  <si>
    <t>'It will full screen for first double click and next double click it comes to its normal view</t>
  </si>
  <si>
    <t>Application.DisplayFullScreen = True</t>
  </si>
  <si>
    <t>Cancel = True</t>
  </si>
  <si>
    <t>Application.DisplayFullScreen = False</t>
  </si>
  <si>
    <t>Cancel = False</t>
  </si>
  <si>
    <t>Private Sub Workbook_BeforeSave(ByVal SaveAsUI As Boolean, Cancel As Boolean)</t>
  </si>
  <si>
    <t>Worksheets("NewHireForm").Activate</t>
  </si>
  <si>
    <t>If WorksheetFunction.CountA(Worksheets("NewHireForm").Range("A2,B3,C4,D5,E4,F6")) &lt; 5 Then MsgBox "WorkSheet can not be saves unless all required fields in yellow colors have been filled!"</t>
  </si>
  <si>
    <t>Private Sub Workbook_NewSheet(ByVal Sh As Object)</t>
  </si>
  <si>
    <t>Application.DisplayAlerts = False</t>
  </si>
  <si>
    <t>MsgBox "Sorry,You can not add more sheets to Thisworkbook", vbInformation</t>
  </si>
  <si>
    <t>Sh.Delete</t>
  </si>
  <si>
    <t>Application.DisplayAlerts = True</t>
  </si>
  <si>
    <t>Private Sub Workbook_Open()</t>
  </si>
  <si>
    <t>MsgBox "Today is" &amp; Now()</t>
  </si>
  <si>
    <t>Sub sbSheetName()</t>
  </si>
  <si>
    <t>Worksheets.Add(After:=ThisWorkbook.Sheets(3)).Name = "Suri" 'It will add named sheet after third sheet in Thisworkbook</t>
  </si>
  <si>
    <t>'Worksheets.Add(After:=ThisWorkbook.Sheets(ThisWorkbook.Sheets.Count)).Name = "Suris" ' It will add named sheet at the end of sheets in Thisworkbook</t>
  </si>
  <si>
    <t>'Worksheets.Add(Before:=ThisWorkbook.Sheets(ThisWorkbook.Sheets.Count)).Name = "Suriss" 'It will add named sheet before last sheet in Thisworkbook</t>
  </si>
  <si>
    <t>Re:Type of Forms in MS-Access?</t>
  </si>
  <si>
    <t>Re:How to create a function that calculate no of working days including/excludimg saturday/sunday &amp; Holidays?</t>
  </si>
  <si>
    <t>Re:How to enter data from one worksheet to another worksheet in vba?</t>
  </si>
  <si>
    <t>Re:vba Code Prime Number?</t>
  </si>
  <si>
    <t>Re:How to Get Name part from a given string by vba?</t>
  </si>
  <si>
    <t>Re:String function and Data conversion function</t>
  </si>
  <si>
    <t>Alt+H+I+R=To insert row</t>
  </si>
  <si>
    <t>Alt+H+I+C=To insert Column</t>
  </si>
  <si>
    <t>Alt+H+O+H=To reset Row Height</t>
  </si>
  <si>
    <t>Alt+H+O+W=To reset Column width</t>
  </si>
  <si>
    <t>ThisWorkbook.Sheets("PAI").Range("A4:Q4").AutoFilter Field:=13, Criteria1:="NSN BSC"</t>
  </si>
  <si>
    <t>count = ThisWorkbook.Sheets("PAI").Range("H5:H" &amp; Cells(Rows.count, "H").End(xlUp).Row).SpecialCells(xlCellTypeVisible).count / 3</t>
  </si>
  <si>
    <t>LR = ThisWorkbook.Sheets("PAI").Range("M5:M" &amp; Cells(Rows.count, "M").End(xlUp).Row).SpecialCells(xlCellTypeVisible).count</t>
  </si>
  <si>
    <t>ThisWorkbook.Sheets("SUS-PDarci").Range("AF" &amp; LR &amp; ":AK" &amp; LR).MergeCells = True</t>
  </si>
  <si>
    <t>ThisWorkbook.Sheets("SUS-PDarci").Range("AF" &amp; LR &amp; ":AK" &amp; LR).MergeCells = False</t>
  </si>
  <si>
    <t>ThisWorkbook.Sheets("SUS-PDarci").Range("AF" &amp; LR &amp; ":AK" &amp; LR).Merge</t>
  </si>
  <si>
    <t>ThisWorkbook.Sheets("SUS-PDarci").Range("AF" &amp; LR &amp; ":AK" &amp; LR).Unmerge</t>
  </si>
  <si>
    <t>ThisWorkbook.Sheets("SUS-PDarci").Range("AF" &amp; LR &amp; ":AK" &amp; LR).BorderAround ColorIndex:=1, Weight:=xlThick</t>
  </si>
  <si>
    <t>ThisWorkbook.Sheets("PAI Summary").Range("R" &amp; j &amp; ":R" &amp; j + 1).MergeCells = True</t>
  </si>
  <si>
    <t>ThisWorkbook.Sheets("PAI").Range("B7:S7").AutoFilter Field:=11, Criteria1:=Arr4(i), Operator:=xlFilterValues</t>
  </si>
  <si>
    <t>ThisWorkbook.Sheets("Ticked Item Detail").Range("A1:L1").AutoFilter Field:=8, Criteria1:=Arr4(i), Operator:=xlFilterValues</t>
  </si>
  <si>
    <t>TechLR = ThisWorkbook.Sheets("PAI").Range("L8", Cells(Rows.count, "L").End(xlUp)).SpecialCells(xlCellTypeVisible).count</t>
  </si>
  <si>
    <t>If TechLR &gt; 1 Then</t>
  </si>
  <si>
    <t>ThisWorkbook.Sheets("PAI").Range("L8", Cells(Rows.count, "L").End(xlUp)).SpecialCells(xlCellTypeVisible).Cells(1, 1).Copy</t>
  </si>
  <si>
    <t>ThisWorkbook.Sheets("PAI Summary").Range("S" &amp; h + 7).PasteSpecial xlPasteValues</t>
  </si>
  <si>
    <t>ThisWorkbook.Sheets("PAI").Activate</t>
  </si>
  <si>
    <t>count = ThisWorkbook.Sheets("PAI").Range("I8:I" &amp; Cells(Rows.count, "I").End(xlUp).Row).SpecialCells(xlCellTypeVisible).count / 3</t>
  </si>
  <si>
    <t>ThisWorkbook.Sheets("PAI Summary").Range("T" &amp; h + 7).Value = count</t>
  </si>
  <si>
    <t>ThisWorkbook.Sheets("PAI Summary").Range("U" &amp; h + 7).Value = (ThisWorkbook.Sheets("PAI Summary").Range("T" &amp; h + 7).Value) * (ThisWorkbook.Sheets("PAI Summary").Range("L" &amp; i + 7).Value)</t>
  </si>
  <si>
    <t>ThisWorkbook.Sheets("PAI Summary").Range("V" &amp; h + 7).Value = returnCount</t>
  </si>
  <si>
    <t>ThisWorkbook.Sheets("PAI Summary").Range("W8:W" &amp; LR).Formula = "=IF(ISERROR(V8/U8),0,(V8/U8))"</t>
  </si>
  <si>
    <t>Sub sbWS()</t>
  </si>
  <si>
    <t>Dim appIE as object</t>
  </si>
  <si>
    <t>Set appIE=CreateObject("InternetExplorer.Application")</t>
  </si>
  <si>
    <t>With appIE</t>
  </si>
  <si>
    <t xml:space="preserve">     .Navigate(http://"www.google.com")</t>
  </si>
  <si>
    <t xml:space="preserve">     .visible=True</t>
  </si>
  <si>
    <t>Do While appIE.busy</t>
  </si>
  <si>
    <t>Do events</t>
  </si>
  <si>
    <t xml:space="preserve">RE:How to get no of each types of files in a folder by excel vba? </t>
  </si>
  <si>
    <t>Re:How to protect a particular sheet by using loop by excel vba?</t>
  </si>
  <si>
    <t>Re:How to Protect and Unprotect a particular range of Cells in vba?</t>
  </si>
  <si>
    <t>Re:What is erase in vba?</t>
  </si>
  <si>
    <t>To release arrays memory</t>
  </si>
  <si>
    <t>Re:Diffrence between for loop and do while/do until loop in vba?</t>
  </si>
  <si>
    <t>For loop is used when no of iteration are known whenever do while/do until are used whenever no of iterations are unknown.</t>
  </si>
  <si>
    <t>Re:For each loop: Always use the For Each loop when looping through a collection of objects such as the VBA Collection,</t>
  </si>
  <si>
    <t>VBA Dictionary and other collections</t>
  </si>
  <si>
    <t>Re:Diffrence between DO While and Do Until loop in vba?</t>
  </si>
  <si>
    <t>Do While loop iterates as long as certain condtions are true while Do Until iterates as long as certain conditions are false.</t>
  </si>
  <si>
    <t>The Do Until Loop always iterates at-least once since the condition that is to be checked is placed at the end of loop.</t>
  </si>
  <si>
    <t>ReDim Preserve:=&gt;</t>
  </si>
  <si>
    <t>Preserving Values</t>
  </si>
  <si>
    <t>ReDim will re-initialize the array and destroy any data in it unless you use the Preserve keyword.</t>
  </si>
  <si>
    <t>Preserve copies the elements from the old array to the new array.</t>
  </si>
  <si>
    <t>It is possible to resize an array without losing the existing values by using the Preserve keyword.</t>
  </si>
  <si>
    <t>When you use Preserve you can only change the size of the upper bound (not the lower bound).</t>
  </si>
  <si>
    <t>ADO vs. DAO:=&gt;</t>
  </si>
  <si>
    <t>ADO is a superset of DAO in functionality point of view. In fact ADO is a combination of DAO + RDO. I would prefer ADO in these cases. 1. If you are proficient in COM programming. 2. If your server supports OLE environment. 3. If you want workspace-level and multi database type ( Relational, indexed, ISAM type, text files supports ). DAO is best choice when you have DAO components installed on your machine and you are using Microsoft's jet database engine based databases such as MS-Access, SQL Server, MS-Excel or Paradox. This is fastest and easiest mathod o access databases.</t>
  </si>
  <si>
    <t>DAO vs. ODBC:=&gt;</t>
  </si>
  <si>
    <t>DAO is best choice when you have DAO components installed on your machine and you are using Microsoft's jet database engine based databases such as MS-Access, SQL Server, MS-Excel or Paradox. This is fastest and easiest method to access databases. ODBC is for various type of database which provides ODBC drives such as SQL Server, Oracle, MS-Access. Additional advantage is DAO is workspace-level support.</t>
  </si>
  <si>
    <t>Advantages of DAO: Easy to use. Workspace level support. Both MFC and API provides DAO support. Speed is relatively faster than ODBC for jet database engine databases.</t>
  </si>
  <si>
    <t>Advantages of ODBC : Easy to use specially when developer are not familiar with COM environment. SQL support. Both API and MFC support. Good for relational databases only.</t>
  </si>
  <si>
    <t xml:space="preserve">Advantages of ADO or OLE-DB : Workspace-level support. Fastest method to access various kind of databases. Easy to use fi you are familiar with COM environment. </t>
  </si>
  <si>
    <t>Provides access to relational, non relational and other types of data.</t>
  </si>
  <si>
    <t>ActiveX Data Objects (ADO) :=&gt;</t>
  </si>
  <si>
    <t>ADO is the strategic application programming interface (API) to data and information. ADO provides consistent, high-performance access to data and supports a variety of development needs,</t>
  </si>
  <si>
    <t>including the creation of front-end database clients and middle-tier business objects that use applications, tools, languages,</t>
  </si>
  <si>
    <t>or Internet browsers. ADO is designed to be the one data interface needed for single and multi-tier client/server and Web-based data-driven solution development. The primary benefits of ADO are ease of use, high speed, low memory overhead, and a small disk footprint.</t>
  </si>
  <si>
    <t>ADO provides an easy-to-use interface to OLE DB, which provides the underlying access to data. ADO is implemented minimal network traffic in key scenarios, and a minimal number of layers between the front end and data source-all to provide a lightweight, high-performance interface. ADO is easy to use because it uses a familiar metaphor-the COM automation interface, available from all leading Rapid Application Development (RAD) tools, database tools, and languages on the market today. ADO is a nice wrapper for OLD-DB.</t>
  </si>
  <si>
    <t xml:space="preserve">ActiveX Data Objects (ADO) </t>
  </si>
  <si>
    <t>ADO is the strategic application programming interface (API) to data and information. ADO provides consistent, high-performance access to data and supports a variety of development needs, including the creation of front-end database clients and middle-tier business objects that use applications, tools, languages, or Internet browsers. ADO is designed to be the one data interface needed for single and multi-tier client/server and Web-based data-driven solution development. The primary benefits of ADO are ease of use, high speed, low memory overhead, and a small disk footprint.</t>
  </si>
  <si>
    <t>ADO vs. DAO</t>
  </si>
  <si>
    <t xml:space="preserve">ADO is a superset of DAO in functionality point of view. In fact ADO is a combination of DAO + RDO. </t>
  </si>
  <si>
    <t>I would prefer ADO in these cases:=&gt;</t>
  </si>
  <si>
    <t xml:space="preserve">1- If you are proficient in COM programming. </t>
  </si>
  <si>
    <t xml:space="preserve">2- If your server supports OLE environment. </t>
  </si>
  <si>
    <t>3- If you want workspace-level and multi database type ( Relational, indexed, ISAM type, text files supports ). DAO is best choice when you have DAO components installed on your machine and you are using Microsoft's jet database engine based databases such as MS-Access, SQL Server, MS-Excel or Paradox. This is fastest and easiest mathod o access databases.</t>
  </si>
  <si>
    <t>DAO vs. ODBC</t>
  </si>
  <si>
    <t>Alt+F2=Save As</t>
  </si>
  <si>
    <t>Ctrl+F12=File Open</t>
  </si>
  <si>
    <t>Alt+H+I+R=&gt;To enter new row</t>
  </si>
  <si>
    <t>Alt+H+I+C=&gt;To enter new Column</t>
  </si>
  <si>
    <t>Monika Gupta:(Career Consultant)</t>
  </si>
  <si>
    <t>M +91 7355378834</t>
  </si>
  <si>
    <t>Email: anikacareers@gmail.com</t>
  </si>
  <si>
    <t>Adhaar Card:849700925701</t>
  </si>
  <si>
    <t>Pan Card:BCOPK8069G</t>
  </si>
  <si>
    <t>Re:Senior Frenchige Advisor Executive</t>
  </si>
  <si>
    <t>Interview date: 21/11/2017</t>
  </si>
  <si>
    <t>Time: 1:00-4:00 pm</t>
  </si>
  <si>
    <t>Address: 4th Floor, Building No – 14C, E – Block</t>
  </si>
  <si>
    <t xml:space="preserve">Sector – 8, Noida – 201301. </t>
  </si>
  <si>
    <t>Regards,</t>
  </si>
  <si>
    <t>Divya</t>
  </si>
  <si>
    <t>9811577696:</t>
  </si>
  <si>
    <t>HR Executive|Advisorymandi.com| 4th Floor, Building No – 14C, E – Block</t>
  </si>
  <si>
    <t>Sector – 8, Noida – 201301.   Touch Point: 0120 4812326 I Fax: 0120 2420260</t>
  </si>
  <si>
    <t>Final Round Director discussion Call on Friday between:2-4 PM</t>
  </si>
  <si>
    <t>07219000963-Dayakar-Wipro</t>
  </si>
  <si>
    <t>09819171347-Papa</t>
  </si>
  <si>
    <t>07860193161-Yashvi</t>
  </si>
  <si>
    <t>Research Analyst at Laterite</t>
  </si>
  <si>
    <t>9818968087-Sameer Excellent</t>
  </si>
  <si>
    <t>Re:What is Loop in vba?</t>
  </si>
  <si>
    <t>Loops are used in VBA for repeating a set of statements multiple times.e.g,:For(For Next),For each,Do While &amp; Do until loops</t>
  </si>
  <si>
    <t>A loop is an instruction that has the ability to continually repeat a set of statements until a certain condition is reached.</t>
  </si>
  <si>
    <t>The basic purpose of loops are as follows:=&gt;</t>
  </si>
  <si>
    <t>It helps in iterating a set of statements.</t>
  </si>
  <si>
    <t>It helps in checking a particular condition multiple times.</t>
  </si>
  <si>
    <t>It can also help in developing sleep and wait logics in code.</t>
  </si>
  <si>
    <t xml:space="preserve">ERASE FUNCTION:=&gt;The Erase Function is used to reset the values of fixed size arrays and free the memory of the dynamic arrays. </t>
  </si>
  <si>
    <t>It behaves depending upon the type of the arrays.</t>
  </si>
  <si>
    <t>Syntax</t>
  </si>
  <si>
    <t>Erase ArrayName</t>
  </si>
  <si>
    <t>Fixed numeric array, each element in an array is reset to Zero.</t>
  </si>
  <si>
    <t>Fixed string array, each element in an array is reset to Zero length " ".</t>
  </si>
  <si>
    <t>Array of objects, each element in an array is reset to special value Nothing.</t>
  </si>
  <si>
    <t>Private Sub Constant_demo_Click()</t>
  </si>
  <si>
    <t xml:space="preserve">   Dim NumArray(3)</t>
  </si>
  <si>
    <t xml:space="preserve">   NumArray(0) = "VBScript"</t>
  </si>
  <si>
    <t xml:space="preserve">   NumArray(1) = 1.05</t>
  </si>
  <si>
    <t xml:space="preserve">   NumArray(2) = 25</t>
  </si>
  <si>
    <t xml:space="preserve">   NumArray(3) = #23/04/2013#</t>
  </si>
  <si>
    <t xml:space="preserve">   Dim DynamicArray()</t>
  </si>
  <si>
    <t xml:space="preserve">   ReDim DynamicArray(9)   ' Allocate storage space.</t>
  </si>
  <si>
    <t xml:space="preserve">   Erase NumArray          ' Each element is reinitialized.</t>
  </si>
  <si>
    <t xml:space="preserve">   Erase DynamicArray      ' Free memory used by array.</t>
  </si>
  <si>
    <t xml:space="preserve">   ' All values would be erased.</t>
  </si>
  <si>
    <t xml:space="preserve">   msgbox("The value at Zeroth index of NumArray is " &amp; NumArray(0))</t>
  </si>
  <si>
    <t xml:space="preserve">   msgbox("The value at First index of NumArray is " &amp; NumArray(1))</t>
  </si>
  <si>
    <t xml:space="preserve">   msgbox("The value at Second index of NumArray is " &amp; NumArray(2))</t>
  </si>
  <si>
    <t xml:space="preserve">   msgbox("The value at Third index of NumArray is " &amp; NumArray(3))</t>
  </si>
  <si>
    <t>Sub sbMonthsName()</t>
  </si>
  <si>
    <t>'I want to have 12 worksheets all labeled with the months of the year. How do I get them to only have the first three letters of the month? For example: "Jan '14" "Feb '14" "Mar '14"..etc.</t>
  </si>
  <si>
    <t>'If i want to captalize the month name(e.g.:JAN,FEB,MAR,........)</t>
  </si>
  <si>
    <t>Dim i As Integer, ws As Worksheet</t>
  </si>
  <si>
    <t>For i = 1 To 12</t>
  </si>
  <si>
    <t>If i &gt; Worksheets.count Then</t>
  </si>
  <si>
    <t>Set ws = Sheets.Add(After:=Sheets(Worksheets.count))</t>
  </si>
  <si>
    <t>Else</t>
  </si>
  <si>
    <t>Set ws = Sheets(Worksheets.count)</t>
  </si>
  <si>
    <t>ws.name = CStr(MonthName(i, True) &amp; " '18")</t>
  </si>
  <si>
    <t>ws.name = CStr(MonthName(i, True))</t>
  </si>
  <si>
    <t>Sub sbTest()'Infosys</t>
  </si>
  <si>
    <t>'If ws.Name &lt;&gt; Application.WorksheetFunction.Text(Now(), "mmm") Then ws.Visible = False</t>
  </si>
  <si>
    <t>'If ws.Name &lt;&gt; Application.WorksheetFunction.Text(Now(), "mmm") Then ws.Visible = True</t>
  </si>
  <si>
    <t>If ws.Name &lt;&gt; Application.WorksheetFunction.Text(Now(), "mmm") Then ws.Visible = 2</t>
  </si>
  <si>
    <t>If ws.Name = Application.WorksheetFunction.Text(Now(), "mmm") Then ws.Visible = -1</t>
  </si>
  <si>
    <t>If ws.Name = Application.WorksheetFunction.Text(Now(), "mmm") Then ThisWorkbook.Sheets(Application.WorksheetFunction.Text(Now(), "mmm")).Visible = True</t>
  </si>
  <si>
    <t>If ws.Name &lt;&gt; Application.WorksheetFunction.Text(Now(), "mmm") Then ThisWorkbook.Sheets(Application.WorksheetFunction.Text(Now(), "mmm")).Visible = False</t>
  </si>
  <si>
    <t>'If ws.Name &lt;&gt; "NOV" Then ws.Visible = True</t>
  </si>
  <si>
    <t>Sub sbSheetActivate()</t>
  </si>
  <si>
    <t>Dim ws As Variant</t>
  </si>
  <si>
    <t>ws = InputBox("Enter your sheet name here")</t>
  </si>
  <si>
    <t>'ThisWorkbook.Sheets(ws).Activate</t>
  </si>
  <si>
    <t>'It will activate each sheet in Thisworkbook/Activeworkbook</t>
  </si>
  <si>
    <t>ws.Activate</t>
  </si>
  <si>
    <t>Sub sbTextNumericOnly() 'It will print only numeric and text only separately</t>
  </si>
  <si>
    <t>Dim nstr, nNum As String, x As Long</t>
  </si>
  <si>
    <t>nstr = "112Surendra58"</t>
  </si>
  <si>
    <t>For x = 1 To Len(nstr)</t>
  </si>
  <si>
    <t>'If IsNumeric(Mid(nstr, x, 1)) = True Then nNum = nNum &amp; Mid(nstr, x, 1)</t>
  </si>
  <si>
    <t>If Not IsNumeric(Mid(nstr, x, 1)) = True Then nNum = nNum &amp; Mid(nstr, x, 1)</t>
  </si>
  <si>
    <t>MsgBox nNum</t>
  </si>
  <si>
    <t>Sub sbSheetHide() 'It will hide all sheets exept only given inputBox sheet name</t>
  </si>
  <si>
    <t>Dim sht As Variant</t>
  </si>
  <si>
    <t>sht = InputBox("Enter your sheet name here")</t>
  </si>
  <si>
    <t>If ws.name &lt;&gt; sht Then ws.Visible = False</t>
  </si>
  <si>
    <t>If ws.name &lt;&gt; sht Then ws.Visible = True</t>
  </si>
  <si>
    <t>'ws.Visible = xlSheetVisible</t>
  </si>
  <si>
    <t>'ws.Activate</t>
  </si>
  <si>
    <t>Sub sbSplitNames()</t>
  </si>
  <si>
    <t>'It will split FullName into first,middle and last names</t>
  </si>
  <si>
    <t>Dim i, LR, LC As Long, x As Variant</t>
  </si>
  <si>
    <t>'LR = ThisWorkbook.Sheets("Test").Range("A2", Range("A2").End(xlUp).Row).count</t>
  </si>
  <si>
    <t>LR = ThisWorkbook.Sheets("Test").Range("A2").End(xlUp).Row</t>
  </si>
  <si>
    <t>Rem LC = ThisWorkbook.Sheets("Test").Range("A2").End(xlToRight).Column</t>
  </si>
  <si>
    <t>With Range("A" &amp; i)</t>
  </si>
  <si>
    <t>x = Split(.Value)</t>
  </si>
  <si>
    <t>.Offset(, 1).Resize(, UBound(x) + 1) = x</t>
  </si>
  <si>
    <t>Sub sbRandomNumberGeneration()</t>
  </si>
  <si>
    <t>For i = 2 To 50</t>
  </si>
  <si>
    <t>ThisWorkbook.Sheets("SAVA").Range("A" &amp; i).Value = Application.WorksheetFunction.RandBetween(1, 50)</t>
  </si>
  <si>
    <t>Sub sbFormatDuplicates()</t>
  </si>
  <si>
    <t>'Highlight duplicates/Unique values</t>
  </si>
  <si>
    <t>Dim rng As Range, uv As UniqueValues</t>
  </si>
  <si>
    <t>Set rng = ThisWorkbook.Sheets("SAVA").Range("H2", Range("H2").End(xlDown))</t>
  </si>
  <si>
    <t>Set uv = rng.FormatConditions.AddUniqueValues</t>
  </si>
  <si>
    <t>'uv.DupeUnique = xlDuplicate</t>
  </si>
  <si>
    <t>uv.DupeUnique = xlUnique</t>
  </si>
  <si>
    <t>uv.Interior.Color = vbRed</t>
  </si>
  <si>
    <t>Sub sbTop10values()</t>
  </si>
  <si>
    <t>'Highlight top10 values by coonditional formatting in vba</t>
  </si>
  <si>
    <t>Dim rng As Range, tt As Top10</t>
  </si>
  <si>
    <t>Set rng = ThisWorkbook.Sheets("SAVA").Range("F2", Range("F2").End(xlDown))</t>
  </si>
  <si>
    <t>Set tt = rng.FormatConditions.AddTop10</t>
  </si>
  <si>
    <t>With tt</t>
  </si>
  <si>
    <t>.TopBottom = xlTop10Top</t>
  </si>
  <si>
    <t>'.Rank = 1</t>
  </si>
  <si>
    <t>'.Percent = False</t>
  </si>
  <si>
    <t>'.Interior.Color = vbYellow</t>
  </si>
  <si>
    <t>.Font.Color = vbBlue</t>
  </si>
  <si>
    <t>Sub sbBottom10values()</t>
  </si>
  <si>
    <t>.TopBottom = xlTop10Bottom</t>
  </si>
  <si>
    <t>.Interior.Color = vbBlue</t>
  </si>
  <si>
    <t>'.Font.Bold = True</t>
  </si>
  <si>
    <t>'.Font.Italic = True</t>
  </si>
  <si>
    <t>vikassainiv89@gmail.com</t>
  </si>
  <si>
    <t>Sub sbTop10Delete()</t>
  </si>
  <si>
    <t>Dim rng As Range, top As Top10</t>
  </si>
  <si>
    <t>Set top = rng.FormatConditions.AddTop10</t>
  </si>
  <si>
    <t>With top</t>
  </si>
  <si>
    <t>'.TopBottom = xlTop10Bottom</t>
  </si>
  <si>
    <t>.Delete</t>
  </si>
  <si>
    <t>'top.Delete</t>
  </si>
  <si>
    <t>'Set tt = rng.FormatConditions.AddTop10</t>
  </si>
  <si>
    <t>'With tt</t>
  </si>
  <si>
    <t>'.Interior.Color = vbBlue</t>
  </si>
  <si>
    <t>Sub sbAutoFilter_Top_10_Item() 'Excel Macro to Filter Data to Show the Top 10 Item of a Data Set in Excel - AutoFilter</t>
  </si>
  <si>
    <t>Range("A1").AutoFilter Field:=1, Criteria1:="10", Operator:=xlTop10Items</t>
  </si>
  <si>
    <t>Sub sbAutoFilter_Bottom_10_Item() 'Excel Macro to Filter Data to Show the Bottom 10 Item of a Data Set in Excel - AutoFilter</t>
  </si>
  <si>
    <t>Range("A1").AutoFilter Field:=1, Criteria1:="10", Operator:=xlBottom10Items</t>
  </si>
  <si>
    <t>Sub sbAutoFilter_Bottom_10_Percent() 'Excel Macro to Filter Data to Show the Bottom 10 Percent of a Data Set in Excel - AutoFilter</t>
  </si>
  <si>
    <t>Range("A1").AutoFilter Field:=1, Criteria1:="10", Operator:=xlBottom10Percent</t>
  </si>
  <si>
    <t>Sub sbAutoFilter_Top_10_Percent() 'Excel Macro to Filter Data to Show the Top 10 Percent of a Data Set in Excel - AutoFilter</t>
  </si>
  <si>
    <t>Range("A1").AutoFilter Field:=1, Criteria1:="10", Operator:=xlTop10Percent</t>
  </si>
  <si>
    <t>Sub Remove_All_Comments_From_Worksheet() 'Excel Macro to Delete All Comments in a Worksheet</t>
  </si>
  <si>
    <t>Cells.ClearComments</t>
  </si>
  <si>
    <t>Sub sbStringcounts()</t>
  </si>
  <si>
    <t>Dim Counter, i, LR As Long, Ruler As Variant</t>
  </si>
  <si>
    <t>LR = Range("K" &amp; Rows.count).End(xlUp).Row</t>
  </si>
  <si>
    <t>Ruler = Split(Range("M" &amp; i), Range("K" &amp; i))</t>
  </si>
  <si>
    <t>Range("L" &amp; i).Value = UBound(Ruler)</t>
  </si>
  <si>
    <t>Sub sbAutoFill()</t>
  </si>
  <si>
    <t>Dim i, j, k As Long</t>
  </si>
  <si>
    <t>For i = 1 To 3</t>
  </si>
  <si>
    <t>ThisWorkbook.Sheets("DataValidation").Range("AC" &amp; i + 1).Value = "A" &amp; i</t>
  </si>
  <si>
    <t>For j = 4 To 6</t>
  </si>
  <si>
    <t>ThisWorkbook.Sheets("DataValidation").Range("AC" &amp; j + 1).Value = "B" &amp; j - 3</t>
  </si>
  <si>
    <t>For k = 7 To 9</t>
  </si>
  <si>
    <t>ThisWorkbook.Sheets("DataValidation").Range("AC" &amp; k + 1).Value = "C" &amp; k - 6</t>
  </si>
  <si>
    <t>Next k</t>
  </si>
  <si>
    <t>Sub sbCombine()</t>
  </si>
  <si>
    <t>Range("A" &amp; i).Value = "A" &amp; i</t>
  </si>
  <si>
    <t>Range("A" &amp; j).Value = "B" &amp; j - 3</t>
  </si>
  <si>
    <t>Range("A" &amp; k).Value = "C" &amp; k - 6</t>
  </si>
  <si>
    <t>LC=ThisWorkbook.Sheets("Suri").Cells(1,16384).End(xlToLeft).Column</t>
  </si>
  <si>
    <t>ThisWorkbook.Sheets("Suri").Range("A2:LC" &amp; LR1).ClearContents</t>
  </si>
  <si>
    <t>ThisWorkbook.Sheets("Suri").Range("A2:LC" &amp; LR1).ClearFormats</t>
  </si>
  <si>
    <t>'ThisWorkbook.Sheets("Suri").Range("A2:Z" &amp; LR1).ClearContents</t>
  </si>
  <si>
    <t>'ThisWorkbook.Sheets("Suri").Range("A2:Z" &amp; LR1).ClearFormats</t>
  </si>
  <si>
    <t>Sub sbFolderSubFolder() 'It will check a folder is empty or not then display no files in a folder and no of files in subfolder</t>
  </si>
  <si>
    <t>Dim fs, Folder as object</t>
  </si>
  <si>
    <t>Set fs = CreateObject("Scripting.FileSystemObject")</t>
  </si>
  <si>
    <t>Set Folder = fs.GetFolder("C:\Users\Surendra\\Desktop\Surendra")</t>
  </si>
  <si>
    <t>'If fs.FolderExists("C:\Users\Surendra\Desktop\Surendra") Then</t>
  </si>
  <si>
    <t>If Folder.Files.Count = 0 And Folder.SubFolders.Count = 0 Then</t>
  </si>
  <si>
    <t>MsgBox "The folder is empty"</t>
  </si>
  <si>
    <t>'MsgBox "The folder contains files:" &amp; Folder.Files.Count &amp; vbCrLf</t>
  </si>
  <si>
    <t>'MsgBox "The Sub folder contains files:" &amp; Folder.SubFolders.Count &amp; vbCrLf</t>
  </si>
  <si>
    <t>MsgBox "The folder contains files:" &amp; Folder.Files.Count &amp; vbCrLf &amp; "The Sub folder contains files:" &amp; Folder.SubFolders.Count</t>
  </si>
  <si>
    <t>'MsgBox "Last Row is:" &amp; LR &amp; vbCrLf &amp; "Last Column is :" &amp; LC</t>
  </si>
  <si>
    <t>Sub sbFolders() 'It will check whether a folder is empty or not</t>
  </si>
  <si>
    <t>Dim fs, folderpath, Folder</t>
  </si>
  <si>
    <t>folderpath = "C:\Users\Surendra\Desktop\New Folder" 'this is your folder</t>
  </si>
  <si>
    <t>'strFolderPath = "C:\Users\Surendra\Desktop\Surendra"</t>
  </si>
  <si>
    <t>Set Folder = fs.GetFolder(folderpath)</t>
  </si>
  <si>
    <t>If (Folder.Files.Count = 0) Then</t>
  </si>
  <si>
    <t>MsgBox "folder's empty"</t>
  </si>
  <si>
    <t xml:space="preserve">  MsgBox "folder not empty. Files count: " &amp; Folder.Files.Count</t>
  </si>
  <si>
    <t>Set fs = Nothing</t>
  </si>
  <si>
    <t>Sub sbLRLC()</t>
  </si>
  <si>
    <t>LR = Cells(1048576, 1).End(xlUp).Row</t>
  </si>
  <si>
    <t>LC = Cells(1, 16348).End(xlToLeft).Column</t>
  </si>
  <si>
    <t>Range(Cells(Rows.count, "A").End(xlUp), Cells(1, Columns.count).End(xlToLeft)).Select</t>
  </si>
  <si>
    <t>'MsgBox "Last Row is:" &amp; LR &amp; vbNewLine &amp; "Last Column is :" &amp; LC</t>
  </si>
  <si>
    <t>MsgBox "Last Row is:" &amp; LR &amp; vbCrLf &amp; "Last Column is :" &amp; LC</t>
  </si>
  <si>
    <t>'Debug.Print "Last Row is :" &amp; LR &amp; vbNewLine &amp; "Last Column is :" &amp; LC</t>
  </si>
  <si>
    <t>Sub sbDisapperMsgBox()</t>
  </si>
  <si>
    <t>Dim asktime As Integer, InfoBox As Object</t>
  </si>
  <si>
    <t>Set InfoBox = CreateObject("WScript.Shell")</t>
  </si>
  <si>
    <t>asktime = 2</t>
  </si>
  <si>
    <t>Select Case InfoBox.PopUp("The Macro has finished", asktime)</t>
  </si>
  <si>
    <t>Case 1, -1</t>
  </si>
  <si>
    <t>Exit Sub</t>
  </si>
  <si>
    <t>End Select</t>
  </si>
  <si>
    <t>Sub sbActiveCellAutofilter()</t>
  </si>
  <si>
    <t>Dim LR,LC as long</t>
  </si>
  <si>
    <t>LR=Activesheet.ActiveCell.Row</t>
  </si>
  <si>
    <t>LC=Activesheet.ActiveCell.Column</t>
  </si>
  <si>
    <t xml:space="preserve">If ActiveSheet.AutoFilterMode=True then ActiveSheet.AutoFilterMode=False </t>
  </si>
  <si>
    <t>ActiveSheet.Range("A1:Z1").Autofilter Field:=LC,Criteria1:=ActiveCell.value</t>
  </si>
  <si>
    <t>Sub sbRBSTest()</t>
  </si>
  <si>
    <t>' Find out value of 2^8=256 without using any function only adding/substraction can be used</t>
  </si>
  <si>
    <t>For i = 2 To 8</t>
  </si>
  <si>
    <t>For j = 1 To 248</t>
  </si>
  <si>
    <t>k = i + j</t>
  </si>
  <si>
    <t>MsgBox k</t>
  </si>
  <si>
    <t>Sub sbNameSplit()</t>
  </si>
  <si>
    <t>'It will seperate first,middle and last name of fullname</t>
  </si>
  <si>
    <t>Dim LR, i As Long, x As Variant</t>
  </si>
  <si>
    <t>LR = ThisWorkbook.Sheets("SAVA").Cells(1048576, 11).End(xlUp).Row</t>
  </si>
  <si>
    <t>With Range("K" &amp; i)</t>
  </si>
  <si>
    <t>.Offset(, 1).Resize(1, UBound(x) + 1) = x</t>
  </si>
  <si>
    <t>Sub Test()</t>
  </si>
  <si>
    <t>Dim i,LR as long,x as variant</t>
  </si>
  <si>
    <t>LR=ActiveSheet.Range(1048576,1).End(xlup).Row</t>
  </si>
  <si>
    <t>For i=2 to LR</t>
  </si>
  <si>
    <t>x=Split(.value)</t>
  </si>
  <si>
    <t>.offset(,1).Resize(1,Ubound(x)+1)=x</t>
  </si>
  <si>
    <t>End with</t>
  </si>
  <si>
    <t>next i</t>
  </si>
  <si>
    <t>Sub sbDateFunctions()</t>
  </si>
  <si>
    <t xml:space="preserve">   Dim strDateString As String</t>
  </si>
  <si>
    <t xml:space="preserve">   strDateString = "The days between 11/15/2017 and today is: " &amp; _</t>
  </si>
  <si>
    <t xml:space="preserve">                    DateDiff("d", "11/15/2017", Now) &amp; vbCrLf &amp; _</t>
  </si>
  <si>
    <t xml:space="preserve">                   "The months between 11/15/2017 and today is: " &amp; _</t>
  </si>
  <si>
    <t xml:space="preserve">                    DateDiff("m", "09/15/2017", Now) &amp; vbCrLf &amp; _</t>
  </si>
  <si>
    <t xml:space="preserve">                    "The months between 10/15/2017 and today is: " &amp; _</t>
  </si>
  <si>
    <t xml:space="preserve">                    DateDiff("yyyy", "11/15/2015", Now)</t>
  </si>
  <si>
    <t xml:space="preserve">   MsgBox strDateString</t>
  </si>
  <si>
    <t>ThisWorkbook.Sheets("Table").Cells(i + 1, 1).Value = i * 1</t>
  </si>
  <si>
    <t>ThisWorkbook.Sheets("Table").Cells(i + 1, 2).Value = i * 2</t>
  </si>
  <si>
    <t>ThisWorkbook.Sheets("Table").Cells(i + 1, 3).Value = i * 3</t>
  </si>
  <si>
    <t>ThisWorkbook.Sheets("Table").Cells(i + 1, 4).Value = i * 4</t>
  </si>
  <si>
    <t>ThisWorkbook.Sheets("Table").Cells(i + 1, 5).Value = i * 5</t>
  </si>
  <si>
    <t>ThisWorkbook.Sheets("Table").Cells(i + 1, 6).Value = i * 6</t>
  </si>
  <si>
    <t>ThisWorkbook.Sheets("Table").Cells(i + 1, 7).Value = i * 7</t>
  </si>
  <si>
    <t>ThisWorkbook.Sheets("Table").Cells(i + 1, 8).Value = i * 8</t>
  </si>
  <si>
    <t>ThisWorkbook.Sheets("Table").Cells(i + 1, 9).Value = i * 9</t>
  </si>
  <si>
    <t>ThisWorkbook.Sheets("Table").Cells(i + 1, 10).Value = i * 10</t>
  </si>
  <si>
    <t>Sub sbTable8()</t>
  </si>
  <si>
    <t>ThisWorkbook.Sheets("Table").Cells(i + 1, 13).Value = i * 8</t>
  </si>
  <si>
    <t>ThisWorkbook.Sheets("Table").Cells(i + 1, 15).Value = Cells(i + 1, 1).Value + Cells(i + 1, 13).Value</t>
  </si>
  <si>
    <t>ThisWorkbook.Sheets("Table").Cells(i + 1, 16).Value = Cells(i + 1, 2).Value + Cells(i + 1, 13).Value</t>
  </si>
  <si>
    <t>ThisWorkbook.Sheets("Table").Cells(i + 1, 17).Value = Cells(i + 1, 3).Value + Cells(i + 1, 13).Value</t>
  </si>
  <si>
    <t>ThisWorkbook.Sheets("Table").Cells(i + 1, 18).Value = Cells(i + 1, 4).Value + Cells(i + 1, 13).Value</t>
  </si>
  <si>
    <t>ThisWorkbook.Sheets("Table").Cells(i + 1, 19).Value = Cells(i + 1, 5).Value + Cells(i + 1, 13).Value</t>
  </si>
  <si>
    <t>ThisWorkbook.Sheets("Table").Cells(i + 1, 20).Value = Cells(i + 1, 6).Value + Cells(i + 1, 13).Value</t>
  </si>
  <si>
    <t>ThisWorkbook.Sheets("Table").Cells(i + 1, 21).Value = Cells(i + 1, 7).Value + Cells(i + 1, 13).Value</t>
  </si>
  <si>
    <t>ThisWorkbook.Sheets("Table").Cells(i + 1, 22).Value = Cells(i + 1, 8).Value + Cells(i + 1, 13).Value</t>
  </si>
  <si>
    <t>ThisWorkbook.Sheets("Table").Cells(i + 1, 23).Value = Cells(i + 1, 9).Value + Cells(i + 1, 13).Value</t>
  </si>
  <si>
    <t>ThisWorkbook.Sheets("Table").Cells(i + 1, 24).Value = Cells(i + 1, 10).Value + Cells(i + 1, 13).Value</t>
  </si>
  <si>
    <t>Sub sbTRE() 'First Method</t>
  </si>
  <si>
    <t>Cells(i + 1, 12).Value = i</t>
  </si>
  <si>
    <t>If Cells(i + 1, 12).Value = 7 Then Cells(i + 1, 12).Value =vbNullString</t>
  </si>
  <si>
    <t>Sub sbTRED() 'Second Method</t>
  </si>
  <si>
    <t>If Cells(i + 1, 12).Value = 6 Then Exit Sub</t>
  </si>
  <si>
    <t>For j = 8 To 10</t>
  </si>
  <si>
    <t>Cells(j + 1, 12).Value = j</t>
  </si>
  <si>
    <t>Sub sbVlookup() 'Vlookup with Iferror</t>
  </si>
  <si>
    <t>Dim i, LR As Long</t>
  </si>
  <si>
    <t>LR = ThisWorkbook.Sheets("Table").Range("J" &amp; Rows.count).End(xlUp).Row</t>
  </si>
  <si>
    <t>For i = 15 To LR</t>
  </si>
  <si>
    <t>'ThisWorkbook.Sheets("Table").Range("L" &amp; i).Value = Application.WorksheetFunction.VLookup(Range("J" &amp; i).Value, Range("F:H").Value, 3, 0)</t>
  </si>
  <si>
    <t>ThisWorkbook.Sheets("Table").Range("L" &amp; i).Value = Application.IfError(Application.VLookup(Range("J" &amp; i).Value, Range("F:H").Value, 3, 0), " ")</t>
  </si>
  <si>
    <t>'ThisWorkbook.Sheets("Sheet1").Range("L" &amp; i).Value = Application.WorksheetFunction.VLookup(ThisWorkbook.Sheets("Table").Range("J" &amp; i).Value, ThisWorkbook.Sheets("Table").Range("F:H").Value, 3, 0)</t>
  </si>
  <si>
    <t>ThisWorkbook.Sheets("Sheet1").Range("L" &amp; i).Value = Application.IfError(Application.VLookup(ThisWorkbook.Sheets("Table").Range("J" &amp; i).Value, ThisWorkbook.Sheets("Sheet1").Range("F:H").Value, 3, 0), " ")</t>
  </si>
  <si>
    <t>'It will seperate first and last name of fullname</t>
  </si>
  <si>
    <t>Sub sbStringcount()</t>
  </si>
  <si>
    <t>'It will count no of occurence of a particular string in a paarticular cell</t>
  </si>
  <si>
    <t>Dim Counter As Long, Ruler As Variant</t>
  </si>
  <si>
    <t>Ruler = Split(Range("D1"), "Gurgaon")</t>
  </si>
  <si>
    <t>Counter = UBound(Ruler)</t>
  </si>
  <si>
    <t>MsgBox Counter</t>
  </si>
  <si>
    <t>Re:what is Run-Time error:Over-flow in vba? 'Infosys</t>
  </si>
  <si>
    <t>If we declare a variable i as integer and we assigned its value more than 32767 i.e.:32768 then it will through a Over-flow error:6</t>
  </si>
  <si>
    <t>because integer's maximum limit is 32767.</t>
  </si>
  <si>
    <t>wkb1.Sheets(1).Range("D24").Value = wkb1.Sheets(5).Range("B:B").SpecialCells(xlCellTypeConstants).Rows.Count - 1</t>
  </si>
  <si>
    <t>LR = ActiveSheet.Cells.SpecialCells(xlCellTypeLastCell).Row + 1</t>
  </si>
  <si>
    <t>Re:What are varous types of Widows in Excel VBA?</t>
  </si>
  <si>
    <t>Immediate Window:=&gt;</t>
  </si>
  <si>
    <t>Local Window:=&gt;It will shows all data types and its dimensions,size and its values as immediate result</t>
  </si>
  <si>
    <t>Watch Window:=&gt;</t>
  </si>
  <si>
    <t>Switch Windows:=&gt;</t>
  </si>
  <si>
    <t>New Window:=&gt;It will creates a new window of current workbook(Just Like Duplicate)</t>
  </si>
  <si>
    <t>Re:What is API? Application Programming Interface</t>
  </si>
  <si>
    <t>RE:What are various types of form controls in vba?</t>
  </si>
  <si>
    <t>Re:=&gt;What is overflow in vba?</t>
  </si>
  <si>
    <t>Re:What are various types of Form Controls in vba?</t>
  </si>
  <si>
    <t>=INFO("numfile")=&gt;It will gives no of opened Excel worksheets</t>
  </si>
  <si>
    <t>=INFO("Release")=&gt;15.0</t>
  </si>
  <si>
    <t>=INFO("system")=&gt;pcdocs</t>
  </si>
  <si>
    <t>=INFO("recal")=&gt;Automatic/Mannual/SemiAutomatic</t>
  </si>
  <si>
    <t>=INFO("osversion")=&gt;Windows(64-bit) NT 6.02</t>
  </si>
  <si>
    <t>=INFO("directory")=&gt;C:\Users\Surendra\Documents</t>
  </si>
  <si>
    <t>VBA Developer - Walk-in Interview - Gurgaon</t>
  </si>
  <si>
    <t>Infosys BPO Ltd</t>
  </si>
  <si>
    <t>2 - 5 yrs  Gurgaon</t>
  </si>
  <si>
    <t>Time and Venue:</t>
  </si>
  <si>
    <t>20th November-24th November,11 AM onwards</t>
  </si>
  <si>
    <t>Infosys BPO Ltd. 7th floor, Tower - B, SEZ, Building #6, DLF Cyber City, DLF Phase-III, Gurgaon - 122 002</t>
  </si>
  <si>
    <t>Interview Venue:</t>
  </si>
  <si>
    <t>Infosys BPO Ltd.</t>
  </si>
  <si>
    <t>7th floor, Tower - B,</t>
  </si>
  <si>
    <t>SEZ, Building #6, DLF Cyber City,</t>
  </si>
  <si>
    <t>DLF Phase-III,</t>
  </si>
  <si>
    <t>Gurgaon - 122 002</t>
  </si>
  <si>
    <t>Date and timings : 20th-24th Nov 17 - 11.00 am</t>
  </si>
  <si>
    <t>Contact person: Sushil/Monika</t>
  </si>
  <si>
    <t>Note: Please mention "DS-Deepika" top of your CV before submit your candidature.</t>
  </si>
  <si>
    <t>Please refer your friends/Colleagues whoever is looking for a change and you can take them also for the interview.</t>
  </si>
  <si>
    <t xml:space="preserve">Please note that the following documents are mandatory and we request you to bring photocopies of these for the discussion. </t>
  </si>
  <si>
    <t>Service certificates (Previous Employers if applicable)</t>
  </si>
  <si>
    <t>Passport size photo</t>
  </si>
  <si>
    <t>Current employer offer letter AND/OR Salary revision letter with annexure (if applicable) whichever pertains to your current salary.</t>
  </si>
  <si>
    <t>Last 3 months salary slips.</t>
  </si>
  <si>
    <t>Copy of any two ID proof (Adhar Card / Voters ID / PAN Card / Drivers License / Passport)</t>
  </si>
  <si>
    <t>10th Mark Sheet &amp; Board Certificate</t>
  </si>
  <si>
    <t>12th Mark sheet &amp; Board Certificate</t>
  </si>
  <si>
    <t>All Graduation Mark Sheets (Each year separate mark Sheet &amp; University Certificate)</t>
  </si>
  <si>
    <t>All Post-Graduation Mark Sheets &amp; University Certificate.(if applicable).</t>
  </si>
  <si>
    <t>Regards</t>
  </si>
  <si>
    <t>Deepika C</t>
  </si>
  <si>
    <t>Direct Recruitment Team</t>
  </si>
  <si>
    <t>ReDim Preserve in VBA:=&gt;</t>
  </si>
  <si>
    <t>option explicit forces u to declare a variable</t>
  </si>
  <si>
    <t>Sub sbcountString()</t>
  </si>
  <si>
    <t>'It will count no of words or occurences in a cell</t>
  </si>
  <si>
    <t>Dim Ruler As Variant, counter As Long</t>
  </si>
  <si>
    <t>Ruler = Split(Range("D1"), "Surendra")</t>
  </si>
  <si>
    <t>'Ruler = Split(Range("D1"), ",")</t>
  </si>
  <si>
    <t>counter = UBound(Ruler)</t>
  </si>
  <si>
    <t>MsgBox counter</t>
  </si>
  <si>
    <t>Sub sbFIBNOSSISERIES()</t>
  </si>
  <si>
    <t>Dim x As Long</t>
  </si>
  <si>
    <t>Range("B1") = 0</t>
  </si>
  <si>
    <t>Range("B2") = 1</t>
  </si>
  <si>
    <t>x = InputBox("Enter your number here")</t>
  </si>
  <si>
    <t>Do</t>
  </si>
  <si>
    <t>If Range("B" &amp; Range("B" &amp; Rows.count).End(xlUp).Row).Value + Range("B" &amp; Range("B" &amp; Rows.count).End(xlUp).Row).Offset(-1, 0) &gt;= x Then Exit Sub</t>
  </si>
  <si>
    <t>Sub sbActiveCellStatus()</t>
  </si>
  <si>
    <t>If ActiveCell.Value = vbNullString Then MsgBox "Active Cell is empty"</t>
  </si>
  <si>
    <t>If ActiveCell.Value &lt;&gt; vbNullString Then MsgBox "Active Cell is:" &amp; ActiveCell.Value</t>
  </si>
  <si>
    <t>'you can use upto 64 IF functions nested in a formula in Excel-2007/2010</t>
  </si>
  <si>
    <t>'You can add up to 255 Sheets in Activeworkbook</t>
  </si>
  <si>
    <t>Sub sbActiveCellFilter()'It will aplly filter based on ActiveCell.value</t>
  </si>
  <si>
    <t>Dim row,col as long</t>
  </si>
  <si>
    <t>row=ActiveCell.Row</t>
  </si>
  <si>
    <t>col=ActiveCell.Column</t>
  </si>
  <si>
    <t>Thisworkbook.Sheets("A1:Z1").AutoFilter Field:=col,Criteria1:=ActiveCell.value</t>
  </si>
  <si>
    <t>Sub sbSTAR()</t>
  </si>
  <si>
    <t>.AlertBeforeOverwriting = False: .Calculation = xlCalculationManual: .ScreenUpdating = False: .AskToUpdateLinks = False: .EnableCancelKey = enabled</t>
  </si>
  <si>
    <t>'Set wkb = Workbooks.Open("C:\Users\Surendra\Desktop\Surendra\OrganizationHeirachys.xlsm")</t>
  </si>
  <si>
    <t>'Set wkb = Workbooks.Open(ThisWorkbook.path &amp; "\ Surendra\OrganizationHeirachys.xlsm")</t>
  </si>
  <si>
    <t>ActiveSheet.UsedRange.ClearContent</t>
  </si>
  <si>
    <t>ActiveSheet.UsedRange.ClearFormats</t>
  </si>
  <si>
    <t>ActiveSheet.Cells.EntireColumn.AutoFit</t>
  </si>
  <si>
    <t>For i = 1 To 5</t>
  </si>
  <si>
    <t>For j = 6 - i To 4 + i</t>
  </si>
  <si>
    <t>Cells(i, j).Value = "*"</t>
  </si>
  <si>
    <t>For i = 6 To 9</t>
  </si>
  <si>
    <t>For j = i - 4 To 2 + i</t>
  </si>
  <si>
    <t>Range("F9,G9,H9,I9,J9,K9,G8,H7,H8,I8,J8,I7,J7").Value = ""</t>
  </si>
  <si>
    <t>Range("E1").CurrentRegion.Select</t>
  </si>
  <si>
    <t>Selection.Columns.AutoFit</t>
  </si>
  <si>
    <t>Range("E1").Select</t>
  </si>
  <si>
    <t>.AlertBeforeOverwriting = True: .Calculation = xlCalculationAutomatic: .ScreenUpdating = True: .AskToUpdateLinks = True: .EnableCancelKey = xlDisabled</t>
  </si>
  <si>
    <t>wkb.Close Savechanges:=True</t>
  </si>
  <si>
    <t>Sub sbTR()</t>
  </si>
  <si>
    <t>Sub sbTRR()</t>
  </si>
  <si>
    <t>Dim a As Integer</t>
  </si>
  <si>
    <t>a = Len(Range("D1")) - Len(Application.WorksheetFunction.Substitute(Range("D1"), "/", ""))</t>
  </si>
  <si>
    <t>MsgBox a</t>
  </si>
  <si>
    <t>MsgBox "YES" &amp; Space(10), vbQuestion</t>
  </si>
  <si>
    <t>MsgBox "NO" &amp; Space(10), vbQuestion</t>
  </si>
  <si>
    <t>MsgBox "YES" &amp; Space(10), vbExclamation</t>
  </si>
  <si>
    <t>MsgBox "NO" &amp; Space(10), vbExclamation</t>
  </si>
  <si>
    <t>MsgBox "YES" &amp; Space(10), vbOKOnly</t>
  </si>
  <si>
    <t>MsgBox "YES" &amp; Space(10), vbExclamation, "Title"</t>
  </si>
  <si>
    <t>MsgBox "NO" &amp; Space(10), vbExclamation, "Title"</t>
  </si>
  <si>
    <t>MsgBox "YES" &amp; Space(10), vbCritical, "Title"</t>
  </si>
  <si>
    <t>MsgBox "NO" &amp; Space(10), vbInformation, "Title"</t>
  </si>
  <si>
    <t>MsgBox "YES" &amp; Space(10), vbOKOnly, "Title"</t>
  </si>
  <si>
    <t>MsgBox "YES" &amp; Space(10), vbOKCancel, "Title"</t>
  </si>
  <si>
    <t>MsgBox "YES" &amp; Space(10), vbRetryCancel, "Title"</t>
  </si>
  <si>
    <t>MsgBox "YES" &amp; Space(10), vbYesNo, "Title"</t>
  </si>
  <si>
    <t>MsgBox "YES" &amp; Space(10), vbYesNoCancel, "Title"</t>
  </si>
  <si>
    <t>MsgBox "YES" &amp; Space(10), vbSystemModal, "Title"</t>
  </si>
  <si>
    <t>Sub sbMsgBox()</t>
  </si>
  <si>
    <t>Dim Title As String</t>
  </si>
  <si>
    <t>MsgBox "Do You want to Clear Data" &amp; Space(10), vbYesNo, "Title"</t>
  </si>
  <si>
    <t>If Title = "vbYes" Then Range("A1").CurrentRegion.ClearContents</t>
  </si>
  <si>
    <t>If Title = "Yes" Then Range("A1").CurrentRegion.ClearContents</t>
  </si>
  <si>
    <t>'If Title = "vbYes" Then ActiveSheet.Range("A1").CurrentRegion.ClearContents</t>
  </si>
  <si>
    <t>If Title = "No" Then Exit Sub</t>
  </si>
  <si>
    <t>'MsgBox "YES" &amp; Space(10), vbYesNo, "Title"</t>
  </si>
  <si>
    <t>'MsgBox Space(10), vbYesNo, "Title"</t>
  </si>
  <si>
    <t>Sub sbClearSheet()</t>
  </si>
  <si>
    <t>Dim response As String</t>
  </si>
  <si>
    <t>response = InputBox("Do you want to Delete")</t>
  </si>
  <si>
    <t>If response = "Yes" Then Range("A1").CurrentRegion.ClearContents</t>
  </si>
  <si>
    <t>If response = "No" Then Exit Sub</t>
  </si>
  <si>
    <t>Sub sbStringOccurrences()</t>
  </si>
  <si>
    <t>'It will count no of occurences of word in a string</t>
  </si>
  <si>
    <t>Dim counter As Long, Ruler As Variant</t>
  </si>
  <si>
    <t>Range("A2:E2").AutoFilter field:=1, Criteria1:="Surendra", Operator:=xlFilterValues</t>
  </si>
  <si>
    <t>Range("A2:E2").AutoFilter field:=1, Criteria1:=Array("Surendra,Kumar,Yadav"), Operator:=xlFilterValues</t>
  </si>
  <si>
    <t>Sub sbTRs()</t>
  </si>
  <si>
    <t>Range("A2:G2").AutoFilter field:=1, Criteria1:=Array("Yashvi", "Alok Singh"), Operator:=xlFilterValues</t>
  </si>
  <si>
    <t>Sub sbSplitNames() 'Infosys interview question</t>
  </si>
  <si>
    <t>Dim i, LR As Long, x As Variant</t>
  </si>
  <si>
    <t>LR = ThisWorkbook.Sheets("Test").Range("A2", Range("A2").End(xlUp)).count</t>
  </si>
  <si>
    <t>Sub sbClearAll()</t>
  </si>
  <si>
    <t>'It will clear formula and fromatting in selected range</t>
  </si>
  <si>
    <t>Sheet8.Cells.Clear</t>
  </si>
  <si>
    <t>Sheet8.Cells.Delete</t>
  </si>
  <si>
    <t>Sheet8.Cells.ClearContents</t>
  </si>
  <si>
    <t>Sheet8.Cells.ClearFormats</t>
  </si>
  <si>
    <t>Sheet8.Cells.ClearComments</t>
  </si>
  <si>
    <t>Sheet8.Cells.ClearNotes</t>
  </si>
  <si>
    <t>Sheet8.Cells.ClearOutline</t>
  </si>
  <si>
    <t>Sub sbSheetCount()</t>
  </si>
  <si>
    <t>Dim ws As Worksheet, i As Integer</t>
  </si>
  <si>
    <t xml:space="preserve">    MsgBox ws.Name</t>
  </si>
  <si>
    <t>'============</t>
  </si>
  <si>
    <t>For i = 1 To Worksheets.count</t>
  </si>
  <si>
    <t xml:space="preserve">    MsgBox Worksheets(i).Name</t>
  </si>
  <si>
    <t>Sub sbSheetsCount() 'It will count no of worksheets in ActiveWorkbook/Thisworkbook</t>
  </si>
  <si>
    <t>Dim ws As Worksheet, i, j As Long</t>
  </si>
  <si>
    <t>'For i = 1 To Worksheets.count</t>
  </si>
  <si>
    <t>For i = 1 To ThisWorkbook.Sheets.count</t>
  </si>
  <si>
    <t>j = i + 1</t>
  </si>
  <si>
    <t>MsgBox "ActiveWorkbook have:" &amp; j &amp; "Sheets"</t>
  </si>
  <si>
    <t>'It give numeric and non-numeric values separatelly</t>
  </si>
  <si>
    <t>Dim nstr, nNum As String, x As Integer</t>
  </si>
  <si>
    <t>nstr = "12345Surendra8"</t>
  </si>
  <si>
    <t>ActiveSheet.Range("A2").Value = nNum</t>
  </si>
  <si>
    <t>Sub sbArray()</t>
  </si>
  <si>
    <t>Dim i As Long, arr() As Variant</t>
  </si>
  <si>
    <t>arr = Array("Surendra", "kumar", "Yadav", "Suri", "Surendryadav", "Yashvi")</t>
  </si>
  <si>
    <t>'For i = LBound(arr) To UBound(arr)</t>
  </si>
  <si>
    <t>For i = UBound(arr) To LBound(arr) Step -1</t>
  </si>
  <si>
    <t>MsgBox arr(i)</t>
  </si>
  <si>
    <t>Sub sbTFR()</t>
  </si>
  <si>
    <t>LR = ThisWorkbook.Sheets("Arrays").Range("A2", Range("A2").End(xlDown)).count + 1</t>
  </si>
  <si>
    <t>MsgBox Range("A" &amp; i).Value</t>
  </si>
  <si>
    <t>Sub sbClearContents()</t>
  </si>
  <si>
    <t>Dim ws As Worksheet, LR, LC As Long</t>
  </si>
  <si>
    <t>LR = ThisWorkbook.Sheets("Data").Cells(Rows.count, "A").Row</t>
  </si>
  <si>
    <t>LR = ThisWorkbook.Sheets("Data").Range("A1", Range("A1").End(xlDown)).count</t>
  </si>
  <si>
    <t>LC = ThisWorkbook.Sheets("Data").Range("A1").End(xlToRight).Column</t>
  </si>
  <si>
    <t>Set ws = ThisWorkbook.Sheets("Data")</t>
  </si>
  <si>
    <t>If ws.Cells(Rows.count, "A").End(xlUp).Row &gt; 1 Then ws.Range("A1:LC" &amp; Cells(Rows.count, "A").End(xlUp).Row).ClearContents</t>
  </si>
  <si>
    <t>'If ws.Cells(Rows.count, "A").End(xlUp).Row &gt; 1 Then ws.Range("A2:LC" &amp; Cells(Rows.count, "A").End(xlUp).Row).ClearContents</t>
  </si>
  <si>
    <t>'If ws.Cells(Rows.count, "A").End(xlUp).Row &gt; 1 Then ws.Range("A2:C" &amp; Cells(Rows.count, "A").End(xlUp).Row).ClearContents</t>
  </si>
  <si>
    <t>'If Cells(Rows.count, "A").End(xlUp).Row &gt; 1 Then Range("A2:C" &amp; Cells(Rows.count, "A").Row).ClearContents</t>
  </si>
  <si>
    <t>'If ws.Cells(Rows.count, "A").End(xlUp).Row &gt; 1 Then ws.Range("A2:A" &amp; Cells(Rows.count, "A").End(xlUp).Row).ClearContents</t>
  </si>
  <si>
    <t>'If Cells(Rows.count, "A").End(xlUp).Row &gt; 1 Then Range("A2:A" &amp; Cells(Rows.count, "A").Row).ClearContents</t>
  </si>
  <si>
    <t>ThisWorkbook.Sheets("Data").Cells.ClearContents</t>
  </si>
  <si>
    <t>ThisWorkbook.Sheets("Data").Range("A1").CurrentRegion.Select</t>
  </si>
  <si>
    <t>ThisWorkbook.Sheets("Data").Range("A1").CurrentRegion.Offset(1, 0).Select</t>
  </si>
  <si>
    <t>ThisWorkbook.Sheets("Data").Range("A1").CurrentRegion.Offset(1, 0).ClearContents</t>
  </si>
  <si>
    <t>ThisWorkbook.Sheets("Data").Range("A1").CurrentRegion.ClearContents</t>
  </si>
  <si>
    <t>Sub sbClearContentss()</t>
  </si>
  <si>
    <t>Sub sbFileName()</t>
  </si>
  <si>
    <t>'It will check a particular filename in a folder</t>
  </si>
  <si>
    <t>Dim fname, filename, folderpath As String</t>
  </si>
  <si>
    <t>'folderpath = ThisWorkbook.path &amp; "\*.xls"</t>
  </si>
  <si>
    <t>folderpath = ThisWorkbook.path &amp; "\*.doc"</t>
  </si>
  <si>
    <t>filename = Dir(folderpath)</t>
  </si>
  <si>
    <t xml:space="preserve">    Do While filename &lt;&gt; ""</t>
  </si>
  <si>
    <t xml:space="preserve">       'If filename = "Test.xlsx" Then fname = filename</t>
  </si>
  <si>
    <t xml:space="preserve">       If filename = "TT.doc" Then fname = filename</t>
  </si>
  <si>
    <t xml:space="preserve">        filename = Dir()</t>
  </si>
  <si>
    <t xml:space="preserve">    Loop</t>
  </si>
  <si>
    <t xml:space="preserve">    'ThisWorkbook.Sheets("Test").Range("Q8").Value = name</t>
  </si>
  <si>
    <t xml:space="preserve">    MsgBox fname &amp; " : files found in folder"</t>
  </si>
  <si>
    <t>Sub sbDeleteFile()</t>
  </si>
  <si>
    <t>'It will delete a particular file from a folder</t>
  </si>
  <si>
    <t>'folderpath = ThisWorkbook.path &amp; "\*.doc"</t>
  </si>
  <si>
    <t>'folderpath = ThisWorkbook.path &amp; "\*.wbk"</t>
  </si>
  <si>
    <t>folderpath = ThisWorkbook.path &amp; "\*.txt"</t>
  </si>
  <si>
    <t xml:space="preserve">    Do While filename &lt;&gt; vbNullString</t>
  </si>
  <si>
    <t xml:space="preserve">       'If filename = "TT.doc" Then Kill fname &amp; folderpath</t>
  </si>
  <si>
    <t xml:space="preserve">       'If filename = "TT.doc" Then Kill folderpath</t>
  </si>
  <si>
    <t xml:space="preserve">       'If filename = "TT.wbk" Then Kill folderpath</t>
  </si>
  <si>
    <t xml:space="preserve">       If filename = "TT.txt" Then Kill folderpath</t>
  </si>
  <si>
    <t xml:space="preserve">    MsgBox tt.txt &amp; " : file Deleted from a folder"</t>
  </si>
  <si>
    <t>Set rng = ThisWorkbook.Sheets("Suri").Range("A2", Range("A2").End(xlDown))</t>
  </si>
  <si>
    <t>'uv.Interior.Color = vbRed</t>
  </si>
  <si>
    <t>'uv.Font.Color = vbRed</t>
  </si>
  <si>
    <t>'uv.Interior.Color = vbBlue</t>
  </si>
  <si>
    <t>uv.Font.Color = vbBlue</t>
  </si>
  <si>
    <t xml:space="preserve"> .TopBottom = xlTop10Top</t>
  </si>
  <si>
    <t xml:space="preserve"> .Font.Color = vbBlue</t>
  </si>
  <si>
    <t>'Highlight Bottom10 values by coonditional formatting in vba</t>
  </si>
  <si>
    <t xml:space="preserve"> .TopBottom = xlTop10Bottom</t>
  </si>
  <si>
    <t xml:space="preserve"> .Font.Color = vbYellow</t>
  </si>
  <si>
    <t>Sub sbRename()</t>
  </si>
  <si>
    <t>ThisWorkbook.Sheets("Sheet1").Name = "Surendra"</t>
  </si>
  <si>
    <t xml:space="preserve">  'You can use this to delete all (xls,xlsm,csv) files in the folder Test</t>
  </si>
  <si>
    <t xml:space="preserve">    On Error Resume Next</t>
  </si>
  <si>
    <t xml:space="preserve">    Kill ThisWorkbook.path &amp; "\Surendra\VBA.txt"</t>
  </si>
  <si>
    <t xml:space="preserve">    Kill "C:\Users\Surendra\Desktop\New Folders\Test.xls"</t>
  </si>
  <si>
    <t xml:space="preserve">    Kill "C:\Users\Surendra\Desktop\New Folders\*.xls"</t>
  </si>
  <si>
    <t xml:space="preserve">    Kill "C:\Users\Surendra\Desktop\New Folders\*.xlsm"</t>
  </si>
  <si>
    <t xml:space="preserve">    Kill "C:\Users\Surendra\Desktop\New Folders\*.csv"</t>
  </si>
  <si>
    <t xml:space="preserve">    Kill "C:\Users\Surendra\Desktop\New Folders\Test.csv"</t>
  </si>
  <si>
    <t xml:space="preserve">    Kill "C:\Users\Surendra\Desktop\New Folders\*.txt"</t>
  </si>
  <si>
    <t xml:space="preserve">    Kill "C:\Users\Surendra\Desktop\New Folders\Test.txt"</t>
  </si>
  <si>
    <t xml:space="preserve">    On Error GoTo 0</t>
  </si>
  <si>
    <t>Sub sbDeleteFiles() 'It will count files in a folder</t>
  </si>
  <si>
    <t xml:space="preserve">    Dim folderpath, filename As String, path As String, count As Integer</t>
  </si>
  <si>
    <t xml:space="preserve">    'FolderPath = "C:\Users\Surendra\Desktop\New Folders\*.xls"</t>
  </si>
  <si>
    <t xml:space="preserve">    'FolderPath = "C:\Users\Surendra\Desktop\New Folders\*.xlsx"</t>
  </si>
  <si>
    <t xml:space="preserve">    folderpath = "C:\Users\Surendra\Desktop\New Folders\*.csv"</t>
  </si>
  <si>
    <t xml:space="preserve">    'FolderPath = "C:\Users\Surendra\Desktop\New Folders\*.txt"</t>
  </si>
  <si>
    <t xml:space="preserve">    'FolderPath = "C:\Users\Surendra\Desktop\New Folders\*.xlsm"</t>
  </si>
  <si>
    <t xml:space="preserve">    path = folderpath</t>
  </si>
  <si>
    <t xml:space="preserve">    filename = Dir(path)</t>
  </si>
  <si>
    <t xml:space="preserve">       count = count + 1</t>
  </si>
  <si>
    <t xml:space="preserve">    'ThisWorkbook.Sheets("Test").Range("Q8").Value = count</t>
  </si>
  <si>
    <t xml:space="preserve">    MsgBox count &amp; " : files found in folder"</t>
  </si>
  <si>
    <t>Sub sbFilesInFolder()</t>
  </si>
  <si>
    <t>'It will count no of files in a folder</t>
  </si>
  <si>
    <t xml:space="preserve">    Dim strDir As String</t>
  </si>
  <si>
    <t xml:space="preserve">    Dim fso, obj, objFiles As Object</t>
  </si>
  <si>
    <t xml:space="preserve">    Dim lngFileCount As Long</t>
  </si>
  <si>
    <t xml:space="preserve">    'strDir = "C:\Users\Surendra\Desktop\New Folders"</t>
  </si>
  <si>
    <t xml:space="preserve">    strDir = ThisWorkbook.path &amp; "\New Folders"</t>
  </si>
  <si>
    <t xml:space="preserve">    Set fso = CreateObject("Scripting.FileSystemObject")</t>
  </si>
  <si>
    <t xml:space="preserve">    Set objFiles = fso.GetFolder(strDir).Files</t>
  </si>
  <si>
    <t xml:space="preserve">    lngFileCount = objFiles.count</t>
  </si>
  <si>
    <t xml:space="preserve">    MsgBox lngFileCount     'Total number of files</t>
  </si>
  <si>
    <t xml:space="preserve"> For Each obj In objFiles</t>
  </si>
  <si>
    <t xml:space="preserve">      'ActiveSheet.Cells(Rows.count, "A").End(xlUp).Offset(1, 0) = obj.Name</t>
  </si>
  <si>
    <t xml:space="preserve">      ActiveSheet.Range("A" &amp; Rows.count).End(xlUp).Offset(1, 0) = obj.Name</t>
  </si>
  <si>
    <t xml:space="preserve">      'ActiveSheet.Cells(Rows.count, "B").End(xlUp).Offset(1, 0) = obj.Name</t>
  </si>
  <si>
    <t xml:space="preserve">      'ActiveSheet.Cells(Rows.count, "C").End(xlUp).Offset(1, 0) = obj.Name</t>
  </si>
  <si>
    <t xml:space="preserve">      'ActiveSheet.Cells(Rows.count, "D").End(xlUp).Offset(1, 0) = obj.Name</t>
  </si>
  <si>
    <t xml:space="preserve">    Next obj</t>
  </si>
  <si>
    <t xml:space="preserve">    Set objFiles = Nothing</t>
  </si>
  <si>
    <t xml:space="preserve">    Set fso = Nothing</t>
  </si>
  <si>
    <t xml:space="preserve">    Set obj = Nothing</t>
  </si>
  <si>
    <t>Sub GetGroup()</t>
  </si>
  <si>
    <t xml:space="preserve">    Rows("5:6").Rows.Group</t>
  </si>
  <si>
    <t xml:space="preserve">    Rows("5:6").Rows.Ungroup</t>
  </si>
  <si>
    <t xml:space="preserve">    Rows("9:15").Rows.Group</t>
  </si>
  <si>
    <t xml:space="preserve">    Rows("9:15").Rows.Ungroup</t>
  </si>
  <si>
    <t>Sub groupTest()</t>
  </si>
  <si>
    <t>'Rows("2:2").ClearContents</t>
  </si>
  <si>
    <t xml:space="preserve">        Columns("B:C").Columns.Ungroup</t>
  </si>
  <si>
    <t xml:space="preserve">        ActiveSheet.PrintOut</t>
  </si>
  <si>
    <t xml:space="preserve">        Columns("B:C").Columns.Group</t>
  </si>
  <si>
    <t>Sub sbGroupUngroups()</t>
  </si>
  <si>
    <t>Columns("A:C").Columns.Group</t>
  </si>
  <si>
    <t>Columns("A:C").Columns.UnGroup</t>
  </si>
  <si>
    <t>Sub Group_Sheets()</t>
  </si>
  <si>
    <t xml:space="preserve">  ws.Select</t>
  </si>
  <si>
    <t xml:space="preserve">  Columns("D:F").Group</t>
  </si>
  <si>
    <t xml:space="preserve">  Columns("H").Group</t>
  </si>
  <si>
    <t xml:space="preserve">  Columns("O:Q").Group</t>
  </si>
  <si>
    <t xml:space="preserve">  Columns("S").Group</t>
  </si>
  <si>
    <t xml:space="preserve">  Columns("Z:AB").Group</t>
  </si>
  <si>
    <t xml:space="preserve">  Columns("AD").Group</t>
  </si>
  <si>
    <t>Sub UnGroup_Sheets()</t>
  </si>
  <si>
    <t xml:space="preserve">  Columns("D:F").Ungroup</t>
  </si>
  <si>
    <t xml:space="preserve">  Columns("H").Ungroup</t>
  </si>
  <si>
    <t xml:space="preserve">  Columns("O:Q").Ungroup</t>
  </si>
  <si>
    <t xml:space="preserve">  Columns("S").Ungroup</t>
  </si>
  <si>
    <t xml:space="preserve">  Columns("Z:AB").Ungroup</t>
  </si>
  <si>
    <t xml:space="preserve">  Columns("AD").Ungroup</t>
  </si>
  <si>
    <t>Sub sbReplce()</t>
  </si>
  <si>
    <t>'LR = ThisWorkbook.Sheets("Arrays").Range("A2", Range("A2").End(xlDown)).count + 1</t>
  </si>
  <si>
    <t>LR = ThisWorkbook.Sheets("Arrays").Range("A" &amp; Rows.count).End(xlUp).Row</t>
  </si>
  <si>
    <t>If Range("A" &amp; i).Value = vbNullString Then Range("A" &amp; i).Value = "@"</t>
  </si>
  <si>
    <t>Sub sbCount()</t>
  </si>
  <si>
    <t>MsgBox ActiveSheet.UsedRange.Rows.count</t>
  </si>
  <si>
    <t>MsgBox ActiveSheet.UsedRange.Columns.count</t>
  </si>
  <si>
    <t>Range("A2:C2").AutoFilter field:=1, Criteria1:="Yashvi"</t>
  </si>
  <si>
    <t>MsgBox ActiveSheet.UsedRange.SpecialCells(xlCellTypeVisible).Rows.count</t>
  </si>
  <si>
    <t>MsgBox ActiveSheet.UsedRange.SpecialCells(xlCellTypeVisible).Columns.count</t>
  </si>
  <si>
    <t>Sub sbMacroTest()</t>
  </si>
  <si>
    <t>If Range("A1").Value = vbNullString Then MsgBox "Active Cell is Blank"</t>
  </si>
  <si>
    <t>If Range("A1").Value &lt;&gt; vbNullString Then MsgBox "Active Cell isn't Blank"</t>
  </si>
  <si>
    <t>If Not IsNumeric(Range("A1").Value) Then MsgBox "Active Cell is Non-Numeric value"</t>
  </si>
  <si>
    <t>If IsNumeric(Range("D1").Value) Then MsgBox "Active Cell is Numeric value"</t>
  </si>
  <si>
    <t>Sub sbAddNewSheet()</t>
  </si>
  <si>
    <t>Dim xlsheet As Worksheet</t>
  </si>
  <si>
    <t>Set xlsheet = ActiveWorkbook.Sheets.Add</t>
  </si>
  <si>
    <t>xlsheet.Name = "Suri"</t>
  </si>
  <si>
    <t>Sub sbAutoFilter()</t>
  </si>
  <si>
    <t>If ActiveSheet.ListObjects("Table_owssvr").ShowAutoFilter Then ActiveSheet.ListObjects("Table_owssvr").Range.AutoFilter</t>
  </si>
  <si>
    <t>ThisWorkbook.Sheets("Arrays").Range("A2").Select</t>
  </si>
  <si>
    <t>Selection.AutoFilter field:=1, Criteria1:=Array("Surendra", "kumar", "Yashvi"), Operator:=xlFilterValues</t>
  </si>
  <si>
    <t>LR = ThisWorkbook.Sheets(2).Range("B" &amp; Rows.Count).End(xlUp).Row</t>
  </si>
  <si>
    <t>ThisWorkbook.Sheets(2).Range("B85:D" &amp; LR).ClearContents</t>
  </si>
  <si>
    <t>ThisWorkbook.Sheets(2).Range("D85:D" &amp; LR).ClearFormats</t>
  </si>
  <si>
    <t>ThisWorkbook.Sheets(20).Range("A1", Cells(65536, Cells(1, 256).End(xlToLeft).Column).End(xlUp)).SpecialCells(xlCellTypeVisible).Copy</t>
  </si>
  <si>
    <t>Cells(2, sCol_no + 1).Select</t>
  </si>
  <si>
    <t xml:space="preserve">        Range(Cells(2, sCol_no + 1), Cells(r, sCol_no + 2)).Copy</t>
  </si>
  <si>
    <t xml:space="preserve">        Selection.PasteSpecial xlPasteValues</t>
  </si>
  <si>
    <t xml:space="preserve">        Application.CutCopyMode = False 'It releases memory from Recyclebin</t>
  </si>
  <si>
    <t>ThisWorkbook.Sheets(var_sNameTemp).Range("A2:A" &amp; r).EntireRow.Copy Destination:=ThisWorkbook.Sheets(var_sName).Range("A2")</t>
  </si>
  <si>
    <t>Data validation:=&gt;</t>
  </si>
  <si>
    <t xml:space="preserve">    ThisWorkbook.Sheets("TNC Certifications").Range("A1:W1").AutoFilter field:=1, Criteria1:="fALU_IP"</t>
  </si>
  <si>
    <t xml:space="preserve">    ThisWorkbook.Sheets("TNC Certifications").Range("A1:W1").AutoFilter field:=18, Criteria1:="Certified"</t>
  </si>
  <si>
    <t xml:space="preserve">    LR = Application.WorksheetFunction.Subtotal(3, ThisWorkbook.Sheets("TNC Certifications").Range("A:A"))</t>
  </si>
  <si>
    <t xml:space="preserve">    If LR &gt; 1 Then</t>
  </si>
  <si>
    <t xml:space="preserve">    ThisWorkbook.Sheets("GDC India DB").Range("P41").Value = Application.WorksheetFunction.Subtotal(3, Range("R2:R50000"))</t>
  </si>
  <si>
    <t xml:space="preserve">    End If</t>
  </si>
  <si>
    <t xml:space="preserve">    If ActiveSheet.AutoFilterMode = True Then ActiveSheet.AutoFilterMode = False</t>
  </si>
  <si>
    <t>ThisWorkbook.Sheets("GDC India DB").Range("A" &amp; LR &amp; ":P" &amp; LR + 5).ClearContents</t>
  </si>
  <si>
    <t>ThisWorkbook.Sheets("GDC India DB").Range("A" &amp; LR &amp; ":P" &amp; LR + 5).ClearFormats</t>
  </si>
  <si>
    <t>ThisWorkbook.Sheets(7).Select</t>
  </si>
  <si>
    <t>Range("AR4").Select</t>
  </si>
  <si>
    <t>Range(Selection, Selection.End(xlToRight)).Select</t>
  </si>
  <si>
    <t>Selection.Copy</t>
  </si>
  <si>
    <t>ThisWorkbook.Sheets(2).Select</t>
  </si>
  <si>
    <t>Range("B85").Select</t>
  </si>
  <si>
    <t>Selection.PasteSpecial Paste:=xlPasteAll, Transpose:=True</t>
  </si>
  <si>
    <t>Sub sbReplace()</t>
  </si>
  <si>
    <t>Range ("A1:A12"), Cells(Rows.count, 1).End(xlUp).Replace("Surendra", "Surender")</t>
  </si>
  <si>
    <t>Dim txt As Variant</t>
  </si>
  <si>
    <t>txt = Application.WorksheetFunction.Text(Now(), "ddd")</t>
  </si>
  <si>
    <t>txt = Application.WorksheetFunction.Text(Now(), "dddd")</t>
  </si>
  <si>
    <t>txt = Application.WorksheetFunction.Text(Now(), "mmm")</t>
  </si>
  <si>
    <t>'txt = Application.WorksheetFunction.Text(Now(), "mmmm")</t>
  </si>
  <si>
    <t>'txt = Application.WorksheetFunction.Text(Now(), "yy")</t>
  </si>
  <si>
    <t>'txt = Application.WorksheetFunction.Text(Now(), "yyyy")</t>
  </si>
  <si>
    <t>MsgBox txt</t>
  </si>
  <si>
    <t>Sub sbMinMax()</t>
  </si>
  <si>
    <t>Dim rng As Range, num As Integer</t>
  </si>
  <si>
    <t>Set rng = Range("G2:G16")</t>
  </si>
  <si>
    <t>num = Application.Min(rng)</t>
  </si>
  <si>
    <t>num = Application.Max(rng)</t>
  </si>
  <si>
    <t>num = Application.WorksheetFunction.Min(rng)</t>
  </si>
  <si>
    <t>num = Application.WorksheetFunction.Max(rng)</t>
  </si>
  <si>
    <t>num = Application.WorksheetFunction.Large(Range("G2:G16"), 2)</t>
  </si>
  <si>
    <t>num = Application.WorksheetFunction.Small(Range("G2:G16"), 6)</t>
  </si>
  <si>
    <t>MsgBox num</t>
  </si>
  <si>
    <t>Sub sbResponse()</t>
  </si>
  <si>
    <t>Dim response as string</t>
  </si>
  <si>
    <t>LR=ActiveSheet.Cells.SpecialCells(xlLastCell).Row</t>
  </si>
  <si>
    <t>LR = ThisWorkbook.Sheets("SAVA").Cells(1048576, 1).End(xlUp).Row</t>
  </si>
  <si>
    <t>LR = ThisWorkbook.Sheets("SAVA").Range("A1048576").End(xlUp).Row</t>
  </si>
  <si>
    <t>LR = ThisWorkbook.Sheets("SAVA").Range("A1").End(xlDown).Row</t>
  </si>
  <si>
    <t>LR = ThisWorkbook.Sheets("SAVA").Range("A" &amp; Rows.count).End(xlUp).Row</t>
  </si>
  <si>
    <t>LR = ThisWorkbook.Sheets("SAVA").Cells(Rows.count, "A").End(xlUp).Row</t>
  </si>
  <si>
    <t>LR = ThisWorkbook.Sheets("SAVA").UsedRange.Rows.count</t>
  </si>
  <si>
    <t>LR = ThisWorkbook.Sheets("SAVA").Range("A1").CurrentRegion.Rows.count</t>
  </si>
  <si>
    <t>LR=  ThisWorkbook.Sheets("SAVA").Range("A:A").Cells.Find("*", SearchOrder:=xlByRows, LookIn:=xlValues, SearchDirection:=xlPrevious).Row</t>
  </si>
  <si>
    <t>'To Calculate Last Column</t>
  </si>
  <si>
    <t>LC = ThisWorkbook.Sheets("SAVA").Cells(1, 16384).End(xlToLeft).Column</t>
  </si>
  <si>
    <t>LC = ThisWorkbook.Sheets("SAVA").Range("A1").End(xlToRight).Column</t>
  </si>
  <si>
    <t>LC = ThisWorkbook.Sheets("SAVA").Range("XFD1").End(xlToLeft).Column</t>
  </si>
  <si>
    <t>LC = ThisWorkbook.Sheets("SAVA").Cells(1, Columns.count).End(xlToLeft).Column</t>
  </si>
  <si>
    <t>LC = ThisWorkbook.Sheets("SAVA").UsedRange.Columns.count</t>
  </si>
  <si>
    <t>LC = ThisWorkbook.Sheets("SAVA").Range("A1").CurrentRegion.Columns.count</t>
  </si>
  <si>
    <t>LC = ThisWorkbook.Sheets("DataValidation").Cells(1, 16384).End(xlToLeft).Column</t>
  </si>
  <si>
    <t>LC = ThisWorkbook.Sheets("DataValidation").Range("A1").End(xlToRight).Column</t>
  </si>
  <si>
    <t>LC=ActiveSheet.Cells.SpecialCells(xlLastCell).Column</t>
  </si>
  <si>
    <t>LC=ThisWorkbook.Sheets("SAVA").Range("1:1").Cells.Find("*", SearchOrder:=xlByColumns, LookIn:=xlValues, SearchDirection:=xlPrevious).Column</t>
  </si>
  <si>
    <t>Command.Execute method : ADODB Command « Access « VBA / Excel / Access / Word:=&gt;</t>
  </si>
  <si>
    <t xml:space="preserve">Command.Execute method: </t>
  </si>
  <si>
    <t>Sub CommandAndExec()</t>
  </si>
  <si>
    <t xml:space="preserve">   Dim conn As ADODB.Connection</t>
  </si>
  <si>
    <t xml:space="preserve">   Dim cmd As ADODB.Command</t>
  </si>
  <si>
    <t xml:space="preserve">   Dim rst As ADODB.Recordset</t>
  </si>
  <si>
    <t xml:space="preserve">   Set conn = New ADODB.Connection</t>
  </si>
  <si>
    <t xml:space="preserve">   With conn</t>
  </si>
  <si>
    <t xml:space="preserve">        .ConnectionString = "Provider=Microsoft.Jet.OLEDB.4.0;" &amp; _</t>
  </si>
  <si>
    <t xml:space="preserve">           "Data Source=" &amp; CurrentProject.Path &amp; "\mydb.mdb"</t>
  </si>
  <si>
    <t xml:space="preserve">           .Open</t>
  </si>
  <si>
    <t xml:space="preserve">   End With</t>
  </si>
  <si>
    <t xml:space="preserve">   Set cmd = New ADODB.Command</t>
  </si>
  <si>
    <t xml:space="preserve">   With cmd</t>
  </si>
  <si>
    <t xml:space="preserve">      .ActiveConnection = conn</t>
  </si>
  <si>
    <t xml:space="preserve">      .CommandText = "Select * from Customers"</t>
  </si>
  <si>
    <t xml:space="preserve">   Set rst = cmd.Execute</t>
  </si>
  <si>
    <t xml:space="preserve">   MsgBox rst.Fields(1).Value</t>
  </si>
  <si>
    <t xml:space="preserve">   rst.Close</t>
  </si>
  <si>
    <t xml:space="preserve">   Set rst = Nothing</t>
  </si>
  <si>
    <t xml:space="preserve">   conn.Close</t>
  </si>
  <si>
    <t xml:space="preserve">   Set conn = Nothing</t>
  </si>
  <si>
    <t>Use ADODB.Command to create a view:=&gt;</t>
  </si>
  <si>
    <t>Sub CreateView()</t>
  </si>
  <si>
    <t xml:space="preserve">    Dim cmd As ADODB.Command</t>
  </si>
  <si>
    <t xml:space="preserve">    Set cmd = New ADODB.Command</t>
  </si>
  <si>
    <t xml:space="preserve">    cmd.ActiveConnection = CurrentProject.Connection</t>
  </si>
  <si>
    <t xml:space="preserve">    cmd.CommandText = "CREATE VIEW vwClients " &amp; _</t>
  </si>
  <si>
    <t xml:space="preserve">        "AS SELECT ClientID, CompanyName " &amp; _</t>
  </si>
  <si>
    <t xml:space="preserve">        "FROM Clients"</t>
  </si>
  <si>
    <t xml:space="preserve">    cmd.Execute</t>
  </si>
  <si>
    <t>Dim Infobox as object,asktime as integer</t>
  </si>
  <si>
    <t>Set Infobox=CreateObject("Wscript.Shell")</t>
  </si>
  <si>
    <t>asktime=2</t>
  </si>
  <si>
    <t>Select case Infobox.Popup("The macro has finished,asktime)</t>
  </si>
  <si>
    <t>case 1,-1</t>
  </si>
  <si>
    <t>exit sub</t>
  </si>
  <si>
    <t>end select</t>
  </si>
  <si>
    <t>ThisWorkbook.Sheets("Detailed view").Activate</t>
  </si>
  <si>
    <t>ThisWorkbook.Sheets("Detailed view").Rows("1:1").EntireRow.Hidden = True/False</t>
  </si>
  <si>
    <t>ThisWorkbook.Sheets("Detailed view").Columns("A").EntireColumn.Hidden = True/False</t>
  </si>
  <si>
    <t>ThisWorkbook.Sheets("Detailed view").Columns("A:D").EntireColumn.Hidden = True/False</t>
  </si>
  <si>
    <t>ThisWorkbook.Sheets("Detailed view").Rows("2:6").EntireRow.Hidden = True/False</t>
  </si>
  <si>
    <t>ThisWorkbook.Sheets(var_sNameTemp).Visible = xlHidden</t>
  </si>
  <si>
    <t>ThisWorkbook.Sheets(var_sNameTemp).Visible = xlVeryHidden</t>
  </si>
  <si>
    <t>ThisWorkbook.Sheets(var_sNameTemp).Visible = xlVisible</t>
  </si>
  <si>
    <t>ThisWorkbook.Sheets(var_sNameTemp).Visible = True/False</t>
  </si>
  <si>
    <t>ActiveSheet.Rows("1:1").EntireRow.Hidden = True</t>
  </si>
  <si>
    <t>ActiveSheet.Rows("1:1").EntireRow.Hidden = False</t>
  </si>
  <si>
    <t>ActiveSheet.Columns("A").EntireColumn.Hidden = True</t>
  </si>
  <si>
    <t>ActiveSheet.Columns("A:B").EntireColumn.Hidden = True</t>
  </si>
  <si>
    <t>ActiveSheet.Columns("A:B").EntireColumn.Hidden = False</t>
  </si>
  <si>
    <t>ThisWorkbook.Sheets("ERM-CSOD").Range("AT2:AT" &amp; Range("AT3").End(xlDown).Row).ClearContents</t>
  </si>
  <si>
    <t>ThisWorkbook.Sheets("ERM-CSOD").Columns("AU:AU").RemoveDuplicates Columns:=1, Header:=xlNo/xlYes</t>
  </si>
  <si>
    <t>ThisWorkbook.Sheets("ERM-CSOD").Range("AU1:AU" &amp; LR).Sort Key1:=Range("AU1"), Order1:=xlAscending/xlDescending</t>
  </si>
  <si>
    <t>ThisWorkbook.Sheets("ERM-CSOD").Range("AU2:AU" &amp; LR).Sort Key1:=Range("AU2"), Order1:=xlAscending/xlDescending</t>
  </si>
  <si>
    <t xml:space="preserve"> Workbooks("Cut off SAP.xlsx").Close savechanges:=False/True</t>
  </si>
  <si>
    <t>ActiveSheet.AutoFilterMode = False/True</t>
  </si>
  <si>
    <t xml:space="preserve">If ActiveSheet.AutoFilterMode=True Then ActiveSheet.AutoFilterMode=False </t>
  </si>
  <si>
    <t>LR=ThisWorkbook.Sheets(var_sNameTemp).Range(1048576,1).End(xlup).Row</t>
  </si>
  <si>
    <t>ThisWorkbook.Sheets(var_sNameTemp).Range("A2:A" &amp; LR).EntireRow.Copy Destination:=ThisWorkbook.Sheets(var_sName).Range("A2")</t>
  </si>
  <si>
    <t>ThisWorkbook.Sheets(var_sNameTemp).Range("A2:A" &amp; LR).EntireRow.Select</t>
  </si>
  <si>
    <t>wkb=Workbooks.Open (ThisWorkbook.Path &amp; "\Templates\" &amp; var_sName &amp; ".xlsx")</t>
  </si>
  <si>
    <t>Set wkb1 = Workbooks.Open(ThisWorkbook.Path &amp; "\DashBoards\DO Extended Dashboard_P10.xlsx")</t>
  </si>
  <si>
    <t>ActiveSheet.Range("AC6").Value = ThisWorkbook.Sheets("Metrics_Overview").Range("K9").Value</t>
  </si>
  <si>
    <t>wkb=workbooks.open(Thisworkbook.Path &amp; "\Suri\Test.xlsx")</t>
  </si>
  <si>
    <t>Sub sbTrimBorder()</t>
  </si>
  <si>
    <t>ThisWorkbook.Sheets("Macro").Activate</t>
  </si>
  <si>
    <t>ActiveWindow.DisplayGridLines=False</t>
  </si>
  <si>
    <t>Range("G6:I9").BorderAround ColorIndex:=5, Weight:=xlThick</t>
  </si>
  <si>
    <t>ThisWorkbook.Sheets(var_sName).Range("A2:A" &amp; r).EntireRow.Delete shift:=xlUp</t>
  </si>
  <si>
    <t>var_sub = Application.WorksheetFunction.Subtotal(3, ThisWorkbook.Sheets(var_sName).Range("A:A"))</t>
  </si>
  <si>
    <t>ThisWorkbook.Sheets("GDC India DB").Range("C3:C100").ClearContents</t>
  </si>
  <si>
    <t>ActiveSheet.Range("C6,P6").NumberFormat = "0"</t>
  </si>
  <si>
    <t>ThisWorkbook.Sheets("CLI").Range("I:I").NumberFormat = "0.00"</t>
  </si>
  <si>
    <t>ThisWorkbook.Sheets("CLI").Range("I:I").NumberFormat = "0"</t>
  </si>
  <si>
    <t>ThisWorkbook.Sheets("CLI").Range("I:I").NumberFormat = "0.0%"</t>
  </si>
  <si>
    <t xml:space="preserve"> ActiveSheet.Range("C7").NumberFormat = "General"</t>
  </si>
  <si>
    <t>ThisWorkbook.Sheets("GDC India DB").Range("C31,C32,D31,D32").Style = "Percent"</t>
  </si>
  <si>
    <t>wkb1.Sheets(1).Range("AC68").Style = "Percent"</t>
  </si>
  <si>
    <t>wkb1.Sheets(1).Range("AC75").Value = Application.WorksheetFunction.RoundDown(Range("AC75"), 1</t>
  </si>
  <si>
    <t>wkb1.Sheets(1).Range("AC77").Value = Application.WorksheetFunction.RoundUp(Range("AC77"), 1)</t>
  </si>
  <si>
    <t>Range("a1").CurrentRegion.Offset(1, 0).ClearContents</t>
  </si>
  <si>
    <t>wbTemplate.SaveAs ThisWorkbook.Path &amp; "\Output\DPA heat map.xlsb"</t>
  </si>
  <si>
    <t>Set wbPerformers = Workbooks.Open(ThisWorkbook.Path &amp; "\Input\S-DPA Detailed report.xlsx")</t>
  </si>
  <si>
    <t>ThisWorkbook.Sheets("Criteria").Visible = -1</t>
  </si>
  <si>
    <t>ThisWorkbook.Sheets("Criteria").Visible = 1</t>
  </si>
  <si>
    <t>ThisWorkbook.Sheets("Criteria").Visible = 2</t>
  </si>
  <si>
    <t>ThisWorkbook.Sheets("Criteria").Range("A2:E100000").ClearContents</t>
  </si>
  <si>
    <t>ThisWorkbook.Sheets("Criteria").Range("A2:E100000").ClearFormats</t>
  </si>
  <si>
    <t>ThisWorkbook.Sheets("Criteria").Columns("A:A").RemoveDuplicates Columns:=1, Header:=xlNo/xlYes</t>
  </si>
  <si>
    <t>ThisWorkbook.Sheets("Criteria").Range("A2:A" &amp; CRLR).Sort Key1:=Range("A2"), Order1:=xlAscending</t>
  </si>
  <si>
    <t>ThisWorkbook.Sheets("Criteria").Columns("C:C").RemoveDuplicates Columns:=1, Header:=xlNo</t>
  </si>
  <si>
    <t>ThisWorkbook.Sheets("Sheet2").Range("A2:A" &amp; LR).RemoveDuplicates Columns:=1, Header:=xlNo</t>
  </si>
  <si>
    <t>ThisWorkbook.Sheets("Sheet2").Range("A2:C" &amp; LR).RemoveDuplicates Columns:=1, Header:=xlNo</t>
  </si>
  <si>
    <t>ThisWorkbook.Sheets("Sheet2").Columns("A:A").RemoveDuplicates Columns:=1, Header:=xlNo</t>
  </si>
  <si>
    <t>Sub sbSort_RemoveDuplicates()</t>
  </si>
  <si>
    <t>Dim LR As Long</t>
  </si>
  <si>
    <t>LR = ThisWorkbook.Sheets("Sheet2").Range("A" &amp; Rows.count).End(xlUp).Row</t>
  </si>
  <si>
    <t>ThisWorkbook.Sheets("Sheet2").Range("A2:A" &amp; LR).Sort Key1:=Range("A2"), Order1:=xlAscending</t>
  </si>
  <si>
    <t>ThisWorkbook.Sheets("Sheet2").Range("A2:A" &amp; LR).Sort Key1:=Range("A2"), Order1:=xlDescending</t>
  </si>
  <si>
    <t>ThisWorkbook.Sheets("Sheet2").Range("A2:C" &amp; LR).Sort Key1:=Range("A2"), Order1:=xlAscending</t>
  </si>
  <si>
    <t>ThisWorkbook.Sheets("Sheet2").Range("A2:C" &amp; LR).Sort Key1:=Range("A2"), Order1:=xlDescending</t>
  </si>
  <si>
    <t>'It will copy only Header after filter selection</t>
  </si>
  <si>
    <t>For Each wkb In Application.Workbooks</t>
  </si>
  <si>
    <t>wkb.Save</t>
  </si>
  <si>
    <t>Next wkb</t>
  </si>
  <si>
    <t>ThisWorkbook.Save</t>
  </si>
  <si>
    <t>ThisWorkbook.Close Savechanges:=True/False</t>
  </si>
  <si>
    <t>Dim CellX as Double</t>
  </si>
  <si>
    <t>Application.Goto cellX  'It will goto Macro Button Sheet</t>
  </si>
  <si>
    <t>ThisWorkbook.Sheets("ERM-CSOD").Range("C:C").SpecialCells(xlCellTypeConstants).Rows.Count - 1</t>
  </si>
  <si>
    <t>ActiveSheet.Range("P3").Value = "=IF(ISERROR(P5/C5),0,(P5/C5))"</t>
  </si>
  <si>
    <t>ThisWorkbook.Sheets("GDC India DB").Range("C12").Value = Application.WorksheetFunction.Subtotal(3, Range("G2:G50000"))</t>
  </si>
  <si>
    <t xml:space="preserve">    ThisWorkbook.Sheets("NEDU Training (ODT)").Range("A1:AV1").AutoFilter field:=7, Criteria1:="Delivered/ Scheduled"</t>
  </si>
  <si>
    <t xml:space="preserve">    ThisWorkbook.Sheets("GDC India DB").Range("P12").Value = Application.WorksheetFunction.Subtotal(3, Range("G2:G50000"))</t>
  </si>
  <si>
    <t xml:space="preserve">    ThisWorkbook.Sheets("Mandatory WBT").Range("A1:AI1").AutoFilter field:=30, Criteria1:="Successful"</t>
  </si>
  <si>
    <t>ThisWorkbook.Sheets(1).Range("H8").HorizontalAlignment = xlCenter</t>
  </si>
  <si>
    <t>ThisWorkbook.Sheets(1).Range("H8").Font.Size = 12</t>
  </si>
  <si>
    <t>ThisWorkbook.Sheets("Detailed view").Columns("A:X").HorizontalAlignment = xlCenter</t>
  </si>
  <si>
    <t>ThisWorkbook.Sheets("Detailed view").Columns("A:X").Font.Size = 8</t>
  </si>
  <si>
    <t>ThisWorkbook.Sheets("Detailed view").Cells.EntireColumn.AutoFit</t>
  </si>
  <si>
    <t>ThisWorkbook.Sheets("Output").Visible = 2</t>
  </si>
  <si>
    <t>Sheets("Macro").Delete</t>
  </si>
  <si>
    <t>ThisWorkbook.SaveAs ThisWorkbook.Path &amp; "\Output\" &amp; "MegaFon_PO-based Rev. Recognition Report.xlsx", FileFormat:=xlOpenXMLWorkbook</t>
  </si>
  <si>
    <t>MsgBox "Done"</t>
  </si>
  <si>
    <t>ActiveWorkbook.Close</t>
  </si>
  <si>
    <t>ThisWorkbook.Sheets("Summary").Range("A1").CurrentRegion.Offset(1, 0).ClearContents</t>
  </si>
  <si>
    <t>ThisWorkbook.Sheets("Summary").Range("A1").CurrentRegion.Offset(1, 0).ClearFormats</t>
  </si>
  <si>
    <t>If ThisWorkbook.Sheets("ERM-CSOD").AutoFilterMode = True Then ThisWorkbook.Sheets("ERM-CSOD").AutoFilterMode = False</t>
  </si>
  <si>
    <t>Set wkb = Workbooks.Open(ThisWorkbook.Path &amp; "\InputFile\NI_rev recognition report_IPM report request_V5.xlsx")</t>
  </si>
  <si>
    <t>ThisWorkbook.Sheets("Macro").Range("G6:I9").BorderAround ColorIndex:=5, Weight:=xlThick</t>
  </si>
  <si>
    <t>ActiveWindow.DisplayGridlines = False</t>
  </si>
  <si>
    <t>ThisWorkbook.Sheets(2).Range("D34").Value = Application.WorksheetFunction.Subtotal(3, Range("AB2:AB50000"))</t>
  </si>
  <si>
    <t>ThisWorkbook.Sheets(13).Range("A1:W1").AutoFilter field:=1, Criteria1:="fALU_IP"</t>
  </si>
  <si>
    <t>ThisWorkbook.Sheets(13).Range("A1:W1").AutoFilter field:=18, Criteria1:="Un-Certified"</t>
  </si>
  <si>
    <t>ThisWorkbook.Sheets(2).Range("D42").Value = Application.WorksheetFunction.Subtotal(3, Range("R2:R50000"))</t>
  </si>
  <si>
    <t>ThisWorkbook.Sheets(13).Range("A1:W1").AutoFilter field:=18, Criteria1:="Certified"</t>
  </si>
  <si>
    <t>LR = Application.WorksheetFunction.Subtotal(3, ThisWorkbook.Sheets(9).Range("AR:AR"))</t>
  </si>
  <si>
    <t>ThisWorkbook.Sheets(2).Range("D41").Value = Application.WorksheetFunction.Subtotal(3, Range("R2:R50000"))</t>
  </si>
  <si>
    <t>ThisWorkbook.Sheets(2).Range("C41").Value = ThisWorkbook.Sheets(2).Range("D41").Value + ThisWorkbook.Sheets(2).Range("D42").Value</t>
  </si>
  <si>
    <t>ThisWorkbook.Sheets(13).Range("A1:W1").AutoFilter field:=1, Criteria1:="VmWare"</t>
  </si>
  <si>
    <t>ThisWorkbook.Sheets(13).Range("A1:W1").AutoFilter field:=18, Criteria1:=Array("Certified", "Un-certified"), Operator:=xlFilterValues</t>
  </si>
  <si>
    <t>ThisWorkbook.Sheets(2).Range("C47").Value = Application.WorksheetFunction.Subtotal(3, Range("R2:R50000"))</t>
  </si>
  <si>
    <t>ThisWorkbook.Sheets("Unfilled status").Cells.EntireColumn.AutoFit</t>
  </si>
  <si>
    <t>ThisWorkbook.Sheets("ERM-CSOD").Range("A1:AU1").AutoFilter field:=47, Criteria1:=i</t>
  </si>
  <si>
    <t>ThisWorkbook.Sheets("ERM-CSOD").Range("A1:AU1").AutoFilter field:=45, Criteria1:="Support"</t>
  </si>
  <si>
    <t>ThisWorkbook.Sheets("ERM-CSOD").Range("A1:AU1" &amp; LR).SpecialCells(xlCellTypeVisible).Copy</t>
  </si>
  <si>
    <t>ThisWorkbook.Sheets("Unfilled status").Range("A1").PasteSpecial xlPasteValues</t>
  </si>
  <si>
    <t>Sub sbDateDifference() 'It will calculate diffrences in Days,Months and Years between two dates in a given ranges</t>
  </si>
  <si>
    <t>LR = ThisWorkbook.Sheets("DataValidation").Range("A1").End(xlDown).Row</t>
  </si>
  <si>
    <t>ThisWorkbook.Sheets("DataValidation").Range("C" &amp; i).Value = DateDiff("D", Range("B" &amp; i).Value, Range("A" &amp; i).Value)</t>
  </si>
  <si>
    <t>ThisWorkbook.Sheets("DataValidation").Range("D" &amp; i).Value = DateDiff("M", Range("B" &amp; i).Value, Range("A" &amp; i).Value)</t>
  </si>
  <si>
    <t>ThisWorkbook.Sheets("DataValidation").Range("E" &amp; i).Value = DateDiff("YYYY", Range("B" &amp; i).Value, Range("A" &amp; i).Value)</t>
  </si>
  <si>
    <t>Prevent Duplicate Values in Excel:=&gt;</t>
  </si>
  <si>
    <t xml:space="preserve">Data Validations:Custom and Enter formula </t>
  </si>
  <si>
    <t>This position requires you to undergo training and initially work from Laterite’s office in Kigali, Rwanda for the first 3 months.</t>
  </si>
  <si>
    <t>You will then move to their Delhi office once it is setup. How does this make you feel?</t>
  </si>
  <si>
    <t>Sub sbCombined()</t>
  </si>
  <si>
    <t>For i = 1 To 9</t>
  </si>
  <si>
    <t>If i = 1 Then Range("A" &amp; i).Value = "A" &amp; i</t>
  </si>
  <si>
    <t>If i = 2 Then Range("A" &amp; i).Value = "A" &amp; i</t>
  </si>
  <si>
    <t>If i = 3 Then Range("A" &amp; i).Value = "A" &amp; i</t>
  </si>
  <si>
    <t>If i = 4 Then Range("A" &amp; i).Value = "B" &amp; i - 3</t>
  </si>
  <si>
    <t>If i = 5 Then Range("A" &amp; i).Value = "B" &amp; i - 3</t>
  </si>
  <si>
    <t>If i = 6 Then Range("A" &amp; i).Value = "B" &amp; i - 3</t>
  </si>
  <si>
    <t>If i = 7 Then Range("A" &amp; i).Value = "C" &amp; i - 6</t>
  </si>
  <si>
    <t>If i = 8 Then Range("A" &amp; i).Value = "C" &amp; i - 6</t>
  </si>
  <si>
    <t>If i = 9 Then Range("A" &amp; i).Value = "C" &amp; i - 6</t>
  </si>
  <si>
    <t>Ques 01. What is the difference between ByVal and ByRef and which is the default?</t>
  </si>
  <si>
    <t>Solution: ByRef: If you pass an argument by reference when calling a procedure the procedure access to the actual variable in memory.</t>
  </si>
  <si>
    <t>As a result, the variable's value can be changed by the procedure.</t>
  </si>
  <si>
    <t xml:space="preserve">ByVal: If you pass an argument by value when calling a procedure the variable's value can be changed with in the procedure only </t>
  </si>
  <si>
    <t>outside the actual value of the variable is retained.</t>
  </si>
  <si>
    <t xml:space="preserve">ByRef is default: Passing by reference is the default in VBA. If you do not explicitly specify to pass an argument by value VBA will </t>
  </si>
  <si>
    <t>pass it by reference. &lt;&lt;Read more about it here&gt;&gt;</t>
  </si>
  <si>
    <t>Ques 02. What is the meaning of Option Explicit and Option Base?</t>
  </si>
  <si>
    <t xml:space="preserve">Solution: Option Explicit makes the declaration of Variables Mandatory while Option Base used at module level to declare the default </t>
  </si>
  <si>
    <t>lower bound for array subscripts. For eg. Option Base 1 will make the array lower bound as 1 instead of 0.</t>
  </si>
  <si>
    <t>Ques 03. What are various data type and their size?</t>
  </si>
  <si>
    <t>Solution:</t>
  </si>
  <si>
    <t>i) The Boolean data type has only two states, True and False. These types of variables are stored as 16-bit (2 Byte) numbers and are usually used for flags.</t>
  </si>
  <si>
    <t>ii) The Byte data type is an 8-bit variable which can store a value from 0 to 255.</t>
  </si>
  <si>
    <t>iii) The Double data type is a 64-bit floating point number used when high accuracy is needed.</t>
  </si>
  <si>
    <t xml:space="preserve">iv) The Integer data type is a 16-bit number which can range from -32768 to 32767. Integers should be used when you are working with values </t>
  </si>
  <si>
    <t>that can not contain fractional numbers. In case, you're working over 32767 rows use Long as a data type.</t>
  </si>
  <si>
    <t>v) The Long data type is a 32-bit number which can range from -2,147,483,648 to 2,147,483,647.</t>
  </si>
  <si>
    <t>vi) The Single data type is a 32-bit number ranging from -3.402823e38 to -1.401298e-45 for negative values and from 1.401298e-45 to 3.402823e38 for positive values. When you need fractional numbers within this range, this is the data type to use.</t>
  </si>
  <si>
    <t>vii) The String data type is usually used as a variable-length type of variable. A variable-length string can contain up to approximately 2 billion characters. Each character has a value ranging from 0 to 255 based on the ASCII character set.</t>
  </si>
  <si>
    <t>Ques 04. What is the difference between ActiveWorkbook and ThisWorkbook?</t>
  </si>
  <si>
    <t>Solution: ThisWorkbook refers to the workbook where the code is being written while ActiveWorkbook refers to the workbook which is in</t>
  </si>
  <si>
    <t xml:space="preserve">the active state with active window. </t>
  </si>
  <si>
    <t>In the case of only one workbook open, ActiveWorkbook is same as ThisWorkbook.</t>
  </si>
  <si>
    <t>Ques 05. How will you find the last used row or column in a range?</t>
  </si>
  <si>
    <t xml:space="preserve">Solution: Last Row in a column can be find using End(xlUp) and Last Column in a row can be find using End(xlToLeft). For e.g. </t>
  </si>
  <si>
    <t>Range("A1048576").End(xlUp).Row gives last used row of Column A.</t>
  </si>
  <si>
    <t>Range("A1").End(xlToRight).Column gives last used Column of Row 1.</t>
  </si>
  <si>
    <t>ThisWorkbook.Sheets("Compare").Range("D22").Value = Application.WorksheetFunction.CountA(Range("C:C").Value) - Application.WorksheetFunction.Count(Range("C:C").Value)</t>
  </si>
  <si>
    <t>If i &gt; Worksheets.Count Then</t>
  </si>
  <si>
    <t>Set ws = Sheets.Add(After:=Sheets(Worksheets.Count))</t>
  </si>
  <si>
    <t>Set ws = Sheets(Worksheets.Count)</t>
  </si>
  <si>
    <t>'ws.Name = CStr(MonthName(i, True) &amp; " '18")</t>
  </si>
  <si>
    <t>ws.Name = Application.WorksheetFunction.Proper(CStr(MonthName(i, True) &amp; " '18"))</t>
  </si>
  <si>
    <t>'ws.Name = Application.WorksheetFunction.Upper(CStr(MonthName(i, True) &amp; " '18"))</t>
  </si>
  <si>
    <t>ws.Name = Application.WorksheetFunction.Lower(CStr(MonthName(i, True) &amp; " '18"))</t>
  </si>
  <si>
    <t>Sub sbScore()</t>
  </si>
  <si>
    <t>Dim Cellrange As Range</t>
  </si>
  <si>
    <t>Dim ColNum, LR As Integer</t>
  </si>
  <si>
    <t>LR = Worksheets("Concentrix").Range("J" &amp; Rows.Count).End(xlUp).Row + 1</t>
  </si>
  <si>
    <t>'ColNum = Application.WorksheetFunction.Match("class 6th", Worksheets("Concentrix").Rows(1), 0)</t>
  </si>
  <si>
    <t>'ColNum = Application.WorksheetFunction.Match(Range("F2").Value, Worksheets("Concentrix").Rows(1), 0)</t>
  </si>
  <si>
    <t>ColNum = Application.WorksheetFunction.Match(Range("F2").Value, Worksheets("Concentrix").Rows(1), 0)</t>
  </si>
  <si>
    <t>Set Cellrange = Worksheets("Concentrix").Columns(ColNum)</t>
  </si>
  <si>
    <t>Range("E2").Copy</t>
  </si>
  <si>
    <t>Range("J" &amp; LR).PasteSpecial xlPasteValues</t>
  </si>
  <si>
    <t>Range("G2").Copy</t>
  </si>
  <si>
    <t>Cells(LR, ColNum).PasteSpecial xlPasteValues</t>
  </si>
  <si>
    <t>Sub sbTests()</t>
  </si>
  <si>
    <t>Dim a, b As Integer</t>
  </si>
  <si>
    <t>a = 6: b = 7</t>
  </si>
  <si>
    <t>If Not a = b Then MsgBox "a is not equal to b"</t>
  </si>
  <si>
    <t>If a &lt;&gt; b Then MsgBox "a is not  equal to b "</t>
  </si>
  <si>
    <t>ThisWorSub sbAddIns()</t>
  </si>
  <si>
    <t>LR = Range("A1048576").End(xlUp).Row</t>
  </si>
  <si>
    <t>LC = Range("A1").End(xlToRight).Column</t>
  </si>
  <si>
    <t>'Range("A1:A" &amp; LR).Copy Destination:=Range("G1")</t>
  </si>
  <si>
    <t>Range("H1").Value = "Salary"</t>
  </si>
  <si>
    <t>Range("H2:H" &amp; LR).Value = Application.VLookup(Range("G2:G" &amp; LR).Value, Range("A2:C" &amp; LR).Value, 3, 0)</t>
  </si>
  <si>
    <t>End Subkbook.Sheets("Compare").Range("D22").Value = Application.WorksheetFunction.CountA(Range("C:C").Value) - Application.WorksheetFunction.Count(Range("C:C").Value)</t>
  </si>
  <si>
    <t>Sub sbHighlightErrors()</t>
  </si>
  <si>
    <t>Range("I2:I" &amp; LR).Formula = "=VLOOKUP(G2,A:C,3,0)"</t>
  </si>
  <si>
    <t xml:space="preserve"> Selection.SpecialCells(xlCellTypeFormulas, xlErrors).Select</t>
  </si>
  <si>
    <t xml:space="preserve"> Selection.Interior.Color = vbBlue</t>
  </si>
  <si>
    <t>Public Function CalculatePerimeter(Length As Double, Width As Double) As Double</t>
  </si>
  <si>
    <t xml:space="preserve">    Dim Perimeter As Double</t>
  </si>
  <si>
    <t xml:space="preserve">    Perimeter = (Length + Width) * 2</t>
  </si>
  <si>
    <t xml:space="preserve">    CalculatePerimeter = Perimeter</t>
  </si>
  <si>
    <t>Private Sub Workbook_AddinInstall()</t>
  </si>
  <si>
    <t>On Error Resume Next 'Just in case</t>
  </si>
  <si>
    <t>Private Sub Workbook_AddinUninstall()</t>
  </si>
  <si>
    <t>On Error Resume Next 'In case it has already gone.</t>
  </si>
  <si>
    <t>Run "AddMenus"</t>
  </si>
  <si>
    <t>Run "DeleteMenu"</t>
  </si>
  <si>
    <t>Sub sbV_HlookupMatches()</t>
  </si>
  <si>
    <t>Dim LR, LC As Long, rng As Range</t>
  </si>
  <si>
    <t>LR = ThisWorkbook.Sheets("Sheet2").Range("P18").End(xlDown).Row</t>
  </si>
  <si>
    <t>LC = ThisWorkbook.Sheets("Sheet2").Range("P18").End(xlToRight).Column</t>
  </si>
  <si>
    <t>'Set rng = ThisWorkbook.Sheets("Sheet2").Range(Cells(18, 16), Cells(LR, LC)).Select</t>
  </si>
  <si>
    <t>Set rng = ThisWorkbook.Sheets("Sheet2").Range(Cells(18, 16), Cells(LR, LC))</t>
  </si>
  <si>
    <t>'ThisWorkbook.Sheets("Sheet2").Range("R25").Value = Application.WorksheetFunction.VLookup(ThisWorkbook.Sheets("Sheet2").Range("P21"), rng, Application.WorksheetFunction.Match(ThisWorkbook.Sheets("Sheet2").Range("Q18"), ThisWorkbook.Sheets("Sheet2").Range("P18:T18"), 0))</t>
  </si>
  <si>
    <t>ThisWorkbook.Sheets("Sheet2").Range("R25").Value = Application.WorksheetFunction.VLookup("Mar", rng, Application.WorksheetFunction.Match("GEORGE", ThisWorkbook.Sheets("Sheet2").Range("P18:T18"), 0))</t>
  </si>
  <si>
    <t>ThisWorkbook.Sheets("Sheet2").Range("R26").Value = Application.WorksheetFunction.VLookup(ThisWorkbook.Sheets("Sheet2").Range("P20"), rng, Application.WorksheetFunction.Match(ThisWorkbook.Sheets("Sheet2").Range("R18"), Range("P18:T18"), 0))</t>
  </si>
  <si>
    <t>ThisWorkbook.Sheets("Sheet2").Range("S25").Value = Application.WorksheetFunction.HLookup("DAVID", rng, Application.WorksheetFunction.Match("Mar", ThisWorkbook.Sheets("Sheet2").Range("P18:P22"), 0))</t>
  </si>
  <si>
    <t>ThisWorkbook.Sheets("Sheet2").Range("S26").Value = Application.WorksheetFunction.HLookup(ThisWorkbook.Sheets("Sheet2").Range("R18"), rng, Application.WorksheetFunction.Match(Range("P21"), ThisWorkbook.Sheets("Sheet2").Range("P18:P22"), 0))</t>
  </si>
  <si>
    <t>Sub LoopThroughFiles()</t>
  </si>
  <si>
    <t xml:space="preserve">   Dim MyObj As Object, MySource As Object, file As Variant</t>
  </si>
  <si>
    <t xml:space="preserve">   Set MySource = MyObj.GetFolder("c:\testfolder\")</t>
  </si>
  <si>
    <t xml:space="preserve">   For Each file In MySource.Files</t>
  </si>
  <si>
    <t xml:space="preserve">      If InStr(file.name, "test") &gt; 0 Then</t>
  </si>
  <si>
    <t xml:space="preserve">         MsgBox "found"</t>
  </si>
  <si>
    <t xml:space="preserve">         Exit Sub</t>
  </si>
  <si>
    <t xml:space="preserve">      End If</t>
  </si>
  <si>
    <t xml:space="preserve">   Next file</t>
  </si>
  <si>
    <t>Sub LoopThroughFile()</t>
  </si>
  <si>
    <t>Dim MyObj, MySource As Object, file As Variant</t>
  </si>
  <si>
    <t xml:space="preserve">   file = Dir("C:\Users\Surendra\Desktop\Surendra\")</t>
  </si>
  <si>
    <t xml:space="preserve">   While (file &lt;&gt; "")</t>
  </si>
  <si>
    <t xml:space="preserve">   While (file &lt;&gt; vbNullString)</t>
  </si>
  <si>
    <t xml:space="preserve">      If InStr(file, "STAR") &gt; 0 Then</t>
  </si>
  <si>
    <t xml:space="preserve">         MsgBox "found " &amp; file</t>
  </si>
  <si>
    <t xml:space="preserve">     file = Dir</t>
  </si>
  <si>
    <t xml:space="preserve">  Wend</t>
  </si>
  <si>
    <t>Sub sbFileNames()</t>
  </si>
  <si>
    <t>Dim filename, folderpath As String 'It will display each filenames from a folder</t>
  </si>
  <si>
    <t>folderpath = ThisWorkbook.path &amp; "\*.*"</t>
  </si>
  <si>
    <t xml:space="preserve">        MsgBox filename</t>
  </si>
  <si>
    <t>LR = ThisWorkbook.Sheets("SAVA").Cells(1048576, 11).End(xlUp).row</t>
  </si>
  <si>
    <t>Sub sbSUBTOTAL()</t>
  </si>
  <si>
    <t>Dim LR, LC, i As Long</t>
  </si>
  <si>
    <t>LR = ThisWorkbook.Sheets("Suri").Cells(1048576, 1).End(xlUp).row</t>
  </si>
  <si>
    <t>LC = ThisWorkbook.Sheets("Suri").Cells(1, 16383).End(xlToLeft).Column</t>
  </si>
  <si>
    <t>Range("L2").Value = Application.WorksheetFunction.Subtotal(1, Range("A:A"))</t>
  </si>
  <si>
    <t>Range("L3").Value = Application.WorksheetFunction.Subtotal(2, Range("A:A"))</t>
  </si>
  <si>
    <t>Range("L4").Value = Application.WorksheetFunction.Subtotal(3, Range("A:A"))</t>
  </si>
  <si>
    <t>Range("L5").Value = Application.WorksheetFunction.Subtotal(4, Range("A:A"))</t>
  </si>
  <si>
    <t>Range("L6").Value = Application.WorksheetFunction.Subtotal(5, Range("A:A"))</t>
  </si>
  <si>
    <t>Range("L8").Value = Application.WorksheetFunction.Subtotal(9, Range("A:A"))</t>
  </si>
  <si>
    <t>Range("L7").Value = Application.WorksheetFunction.Subtotal(6, Range("E2:F15"))</t>
  </si>
  <si>
    <t>Sub sbAGGREGATE()</t>
  </si>
  <si>
    <t>Range("L2").Value = Application.WorksheetFunction.Aggregate(1, Range("A:A"))</t>
  </si>
  <si>
    <t>Range("L3").Value = Application.WorksheetFunction.Aggregate(2, Range("A:A"))</t>
  </si>
  <si>
    <t>Range("L4").Value = Application.WorksheetFunction.Aggregate(3, Range("A:A"))</t>
  </si>
  <si>
    <t>Range("L5").Value = Application.WorksheetFunction.Aggregate(4, Range("A:A"))</t>
  </si>
  <si>
    <t>Range("L6").Value = Application.WorksheetFunction.Aggregate(5, Range("A:A"))</t>
  </si>
  <si>
    <t>Range("L8").Value = Application.WorksheetFunction.Aggregate(9, Range("A:A"))</t>
  </si>
  <si>
    <t>Range("L7").Value = Application.WorksheetFunction.Aggregate(6, Range("E2:F15"))</t>
  </si>
  <si>
    <t>Sub sbActivate()</t>
  </si>
  <si>
    <t>'It will activate a particular sheet in Thisworkbook</t>
  </si>
  <si>
    <t>If ws.name = "TFT" Then ws.Activate</t>
  </si>
  <si>
    <t>ThisWorkbook.Sheets("Sheet1").name = "Surendra"</t>
  </si>
  <si>
    <t xml:space="preserve"> Dim i, j, num As Integer</t>
  </si>
  <si>
    <t>Sub sbDataValidations()</t>
  </si>
  <si>
    <t>Dim ws As Worksheet, i, LR As Long, cell As Variant</t>
  </si>
  <si>
    <t>For Each cell In ThisWorkbook.Sheets("Compare").Range("E2:E20").Value</t>
  </si>
  <si>
    <t>If Not IsNumeric(cell) Then MsgBox "Please insert only numeric value only"</t>
  </si>
  <si>
    <t>ThisWorkbook.SaveAs ThisWorkbook.Path &amp; "\Output\" &amp; "MegaFon_PO-based Rev.Recognition Report.xlsx", FileFormat:=xlOpenXMLWorkbook</t>
  </si>
  <si>
    <t>ThisWorkbook.Sheets("Datasheet").Range(Cells(Rows.count, "A").End(xlUp), Cells(1, Columns.count).End(xlToLeft)).Select</t>
  </si>
  <si>
    <t>LR = ThisWorkbook.Sheets("Datasheet").Cells(1048576, 1).End(xlUp).Row</t>
  </si>
  <si>
    <t>LR = ThisWorkbook.Sheets("Datasheet").Cells(Rows.count, "A").End(xlUp).Row</t>
  </si>
  <si>
    <t>LR = ThisWorkbook.Sheets("Datasheet").Range("A1048576").End(xlUp).Row</t>
  </si>
  <si>
    <t>LR = ThisWorkbook.Sheets("Datasheet").Range("AJ" &amp; Rows.count).End(xlUp).Row</t>
  </si>
  <si>
    <t>LC = ThisWorkbook.Sheets("Datasheet").Cells(2, 16384).End(xlToLeft).Column</t>
  </si>
  <si>
    <t>LC = ThisWorkbook.Sheets("Datasheet").Cells(1, Columns.count).End(xlToLeft).Column</t>
  </si>
  <si>
    <t>LC = ThisWorkbook.Sheets("Datasheet").Range("XFD2").End(xlToLeft).Column</t>
  </si>
  <si>
    <t>Set SrcData = ThisWorkbook.Sheets("Datasheet").Range(Cells(1, 1), Cells(LR, LC))</t>
  </si>
  <si>
    <t>Sub sbVlookupMatch()</t>
  </si>
  <si>
    <t>LR = ThisWorkbook.Sheets("Test").Range("AJ2", Range("AJ2").End(xlDown)).count + 1</t>
  </si>
  <si>
    <t>LC = ThisWorkbook.Sheets("Test").Range("XFD2").End(xlToLeft).Column</t>
  </si>
  <si>
    <t>LC = ThisWorkbook.Sheets("Test").Range("AJ2").End(xlToRight).Column</t>
  </si>
  <si>
    <t>Set rng = ThisWorkbook.Sheets("Test").Range(Cells(2, 36), Cells(LR, LC))</t>
  </si>
  <si>
    <t>'Set rng = ThisWorkbook.Sheets("Test").Range(Cells(2, 36), Cells(LR, LC)).Select</t>
  </si>
  <si>
    <t>'ThisWorkbook.Sheets("Test").Range("AL18").Value = Application.WorksheetFunction.VLookup(Range("AJ6"), rng, Application.WorksheetFunction.Match(Range("AM2"), Range("AJ2:AV2"), 0))</t>
  </si>
  <si>
    <t>ThisWorkbook.Sheets("Test").Range("AL17").Value = Application.WorksheetFunction.VLookup("DD", rng, Application.WorksheetFunction.Match("Mar", Range("AJ2:AV2"), 0))</t>
  </si>
  <si>
    <t>Range("AG" &amp; i &amp; ":AH" &amp; i).Copy Destination:=Range("AJ" &amp; j)</t>
  </si>
  <si>
    <t>ThisWorkbook.Sheets(2).Range("A85").Copy</t>
  </si>
  <si>
    <t>ThisWorkbook.Sheets(2).Range("B85:B" &amp; LR &amp; ":D85:D" &amp; LR).PasteSpecial xlPasteFormats</t>
  </si>
  <si>
    <t>Dim Arr() As Variant</t>
  </si>
  <si>
    <t>LR = ThisWorkbook.Sheets(8).Range("D" &amp; Rows.Count).End(xlUp).Row - 1</t>
  </si>
  <si>
    <t>Arr = WorksheetFunction.Transpose(Worksheets(8).Range("A2:A" &amp; LR1).Value)</t>
  </si>
  <si>
    <t>Sub sbArrays()</t>
  </si>
  <si>
    <t>'How to display unique values only</t>
  </si>
  <si>
    <t>arr = Array("1", "2", "3", "4", "5", "6", "7", "8", "9", "10", "5", "6")</t>
  </si>
  <si>
    <t>For i = LBound(arr) To UBound(arr)</t>
  </si>
  <si>
    <t>'For i = UBound(arr) To LBound(arr) Step -1</t>
  </si>
  <si>
    <t>Dim i, LR As Long, arr(), Arrs() As Variant</t>
  </si>
  <si>
    <t>Arrs = WorksheetFunction.Transpose(Worksheets("Arrays").Range("A2:A" &amp; LR).Value)</t>
  </si>
  <si>
    <t>'arr = Array("Surendra", "kumar", "Yadav", "Suri", "Surendryadav", "Yashvi")</t>
  </si>
  <si>
    <t>'For i = LBound(Arrs) To UBound(Arrs)</t>
  </si>
  <si>
    <t>For i = UBound(Arrs) To LBound(Arrs) Step -1</t>
  </si>
  <si>
    <t>'MsgBox arr(i)</t>
  </si>
  <si>
    <t>MsgBox Arrs(i)</t>
  </si>
  <si>
    <t>MsgBox Asc(Range("A" &amp; i).Value)</t>
  </si>
  <si>
    <t>'MsgBox Desc(Range("A" &amp; i).Value)</t>
  </si>
  <si>
    <t>Re:=&gt;How to seperate text and numeric from a alphanemeric in Excel?</t>
  </si>
  <si>
    <t>Re:=&gt;Count no of text occurences in a Cell?</t>
  </si>
  <si>
    <t>VBA:=&gt;</t>
  </si>
  <si>
    <t>Dim Ruler As Variant, Counter As Long</t>
  </si>
  <si>
    <t xml:space="preserve">Re: </t>
  </si>
  <si>
    <t>B1: =LEFT(A1,MIN(FIND({0,1,2,3,4,5,6,7,8,9},A1&amp;"0123456789"))-1)</t>
  </si>
  <si>
    <t>This section: FIND({0,1,2,3,4,5,6,7,8,9},A1&amp;"0123456789")</t>
  </si>
  <si>
    <t>sequentially searches A1&amp;"0123456789" for each digit from 0 through 9</t>
  </si>
  <si>
    <t>and returns the position of the first occurrence of each digit in an</t>
  </si>
  <si>
    <t>array representing the results of each search.</t>
  </si>
  <si>
    <t>This section: A1&amp;"0123456789"</t>
  </si>
  <si>
    <t>ensures that every digit from 0 through 9 will exist in the search</t>
  </si>
  <si>
    <t>and no errors will be returned by the FIND function.</t>
  </si>
  <si>
    <t>If A1 contains: ABC246...it will become: ABC2460123456789</t>
  </si>
  <si>
    <t>• 1st 0: Char 7</t>
  </si>
  <si>
    <t>• 1st 1: Char 8</t>
  </si>
  <si>
    <t>• 1st 2: Char 4</t>
  </si>
  <si>
    <t>etc</t>
  </si>
  <si>
    <t>Using the above example, the array returned would be:</t>
  </si>
  <si>
    <t>{7,8,4,10,5,12,6,14,15,16}</t>
  </si>
  <si>
    <t xml:space="preserve">The MIN function returns the smallest of those array values...and </t>
  </si>
  <si>
    <t>consequently, the position of the first digit in the string.</t>
  </si>
  <si>
    <t xml:space="preserve">In the example, position 4 is the smallest. We subtract 1 from </t>
  </si>
  <si>
    <t>that value to identify the last alpha char before the digits begin.</t>
  </si>
  <si>
    <t>Finally, the LEFT function returns the leftmost characters, up to but not including the 1st digit: ABC</t>
  </si>
  <si>
    <t>Names:</t>
  </si>
  <si>
    <t>Numbers:</t>
  </si>
  <si>
    <t>LR=Thisworkbook.Sheets("Test").Range("A2",Range("A2").end(xlup).row)).count</t>
  </si>
  <si>
    <t>With Range("A"&amp;i)</t>
  </si>
  <si>
    <t>.offset(,1).Resize(,Ubound(x)+1)=x</t>
  </si>
  <si>
    <t>end with</t>
  </si>
  <si>
    <t>=LEFT(C17,MIN(FIND({0,1,2,3,4,5,6,7,8,9},C17&amp;"0123456789"))-1) :=&gt;Text Part</t>
  </si>
  <si>
    <t>=RIGHT(C17,LEN(C17)-MIN(FIND({0,1,2,3,4,5,6,7,8,9},C17&amp;"0123456789"))+1) :=&gt;Numeric Part</t>
  </si>
  <si>
    <t>VBA Reference counting - Object destruction</t>
  </si>
  <si>
    <t>With regular objects, you can instantiate an object using the keywords SET and NEW. For example:</t>
  </si>
  <si>
    <t>Set classInstance = New className</t>
  </si>
  <si>
    <t>Whenever we instantiate this way, the object is created in the heap memory and the reference counter is increased by 1.</t>
  </si>
  <si>
    <t>In case I don't add more references, the following statement would bring the reference count back to zero:</t>
  </si>
  <si>
    <t xml:space="preserve">Set classInstance = Nothing </t>
  </si>
  <si>
    <t>When the reference count goes to 0, the object is destroyed and cleared from memory and the "classInstance" points to .</t>
  </si>
  <si>
    <t>When we use the "CREATEOBJECT" function, it returns a reference to a COM object.</t>
  </si>
  <si>
    <t>Set oApp = CreateObject("Excel.Application")</t>
  </si>
  <si>
    <t>Even though we could say:</t>
  </si>
  <si>
    <t xml:space="preserve">Set oApp = nothing </t>
  </si>
  <si>
    <t>The objects' reference count will go to 0, and oApp will not point to the object anymore.</t>
  </si>
  <si>
    <t>My questions:</t>
  </si>
  <si>
    <t>1) Why is it that this type of object requires to call the method .Quit before the object is actually being removed from memory?</t>
  </si>
  <si>
    <t xml:space="preserve">The same goes when adding a reference to a workbook object (workbooks.add or workbook.open) which requires the .close method. </t>
  </si>
  <si>
    <t>Why can't these objects be automatically destroyed when bringing the reference count to zero?</t>
  </si>
  <si>
    <t>Which is the case when we say for example:</t>
  </si>
  <si>
    <t xml:space="preserve">set oRange = nothing </t>
  </si>
  <si>
    <t>2) And is there a need to say:</t>
  </si>
  <si>
    <t>oApp.Quit</t>
  </si>
  <si>
    <t xml:space="preserve">set oApp = nothing </t>
  </si>
  <si>
    <t>Since the Application object is already cleared from memory when applying .Quit, there is no object to be released anymore.</t>
  </si>
  <si>
    <t xml:space="preserve">The only reason I could come up with, why oApp would be set to Nothing after Quit, would be because it could be pointing to </t>
  </si>
  <si>
    <t>an unused memory location (on the heap) and could lead to confusion later if this memory would be re-assigned (although in VBA I find this hard to imagine).</t>
  </si>
  <si>
    <t xml:space="preserve">I was questioning myself if this conclusion is correct and I would like to receive confirmation for that from someone who </t>
  </si>
  <si>
    <t>knows the answer.</t>
  </si>
  <si>
    <t>Please, tell me if I see this wrongly.</t>
  </si>
  <si>
    <t xml:space="preserve">3) What they call in VBA "a reference to an object" (such as oApp in the code above), I see them as pointer variables in C. </t>
  </si>
  <si>
    <t>Would it be safe to use this statement or again, am I seeing this wrongly?</t>
  </si>
  <si>
    <t xml:space="preserve">Generally is not hard to apply .Quit and set to nothing, but it would be nice to receive some accurate information on the </t>
  </si>
  <si>
    <t>topic. So that I know for 100% percent why I am doing it.</t>
  </si>
  <si>
    <t>Excel controls the creation of its objects. Likewise it also controls their destruction.</t>
  </si>
  <si>
    <t>Setting oApp = Nothing just destroys the object reference. It doesn't remove the Application. To destroy an Excel object, you have to use it's .Quit method.</t>
  </si>
  <si>
    <t xml:space="preserve">Whenever you do, Set x = Nothing, the reference(pointer) named x to its relevant object is removed. This doesn't mean that the object </t>
  </si>
  <si>
    <t>itself will be removed from the memory. Whether the object will be removed from memory or not, depends on various factors.</t>
  </si>
  <si>
    <t xml:space="preserve">N.B.:=&gt;Objects get automatically destroyed when their reference counter returns to zero </t>
  </si>
  <si>
    <t>Q:=&gt;why oApp would be set to Nothing after Quit?</t>
  </si>
  <si>
    <t>Whether there are more references pointing towards the same object. If there are, the object will not be removed.The reference count must be zero.</t>
  </si>
  <si>
    <t>The internal implementation of the destructor of that object.</t>
  </si>
  <si>
    <t>The .Quit method is defined to graciously remove all the memory objects excel has allocated, and close itself.</t>
  </si>
  <si>
    <t>It is similar to calling Close on a form in VB6. Take for example, a form in vb6.</t>
  </si>
  <si>
    <t>Dim f As Form</t>
  </si>
  <si>
    <t>Set f = Form1</t>
  </si>
  <si>
    <t>f.Show</t>
  </si>
  <si>
    <t>'</t>
  </si>
  <si>
    <t>'~~&gt; Rest of the code</t>
  </si>
  <si>
    <t>Set f = Nothing</t>
  </si>
  <si>
    <t>Private Sub Test()</t>
  </si>
  <si>
    <t>Dim oApp As Excel.Application</t>
  </si>
  <si>
    <t>Set oApp = New Excel.Application</t>
  </si>
  <si>
    <t>'Set oApp = CreateObject("Excel.Application")</t>
  </si>
  <si>
    <t>oApp.Visible = True</t>
  </si>
  <si>
    <t>Set oApp = Nothing</t>
  </si>
  <si>
    <t>Visual Basic Concepts:=&gt;</t>
  </si>
  <si>
    <t>Object References and Reference Counting</t>
  </si>
  <si>
    <t>The primary rule for object lifetime is very simple: An object is destroyed when the last reference to it is released.</t>
  </si>
  <si>
    <t>However, as with so much of life, simple doesn't always mean easy.</t>
  </si>
  <si>
    <t xml:space="preserve">As you use more objects, and keep more variables containing references to those objects, you may go through periods when it </t>
  </si>
  <si>
    <t>seems impossible to get your objects to go away when you want them to.</t>
  </si>
  <si>
    <t>At some point, it will occur to you that Visual Basic must be keeping track of object references — otherwise how could it</t>
  </si>
  <si>
    <t xml:space="preserve">know when the last reference to an object is released? You may start thinking that if only you could get access to </t>
  </si>
  <si>
    <t>Visual Basic's reference counts, debugging would be much easier.</t>
  </si>
  <si>
    <t xml:space="preserve">To make using objects more efficient, the Component Object Model (COM) specifies a number of complex shortcuts to its </t>
  </si>
  <si>
    <t>reference counting rules. The net result is that you couldn't trust the value of the reference count even if you had access to it.</t>
  </si>
  <si>
    <t xml:space="preserve">According to COM rules, the only information you can depend on is whether or not the reference count is zero. You know when </t>
  </si>
  <si>
    <t xml:space="preserve">the reference count reaches zero, because your object's Terminate event occurs. Beyond that, there's no reliable information </t>
  </si>
  <si>
    <t>to be gleaned from reference counts.</t>
  </si>
  <si>
    <t xml:space="preserve">Note The fact that you don't have to remember the COM reference counting rules is no small thing. Managing reference counts </t>
  </si>
  <si>
    <t>yourself is a lot more difficult than keeping track of which object variables in your program contain references to objects.</t>
  </si>
  <si>
    <t xml:space="preserve">Tip   Declare your object variables as class types, instead of As Object. That way, if you have a Widget object that isn't </t>
  </si>
  <si>
    <t>terminating, the only variables you need to worry about are those declared As Widget.</t>
  </si>
  <si>
    <t xml:space="preserve">For collections of object references, don't use the Visual Basic Collection object by itself. </t>
  </si>
  <si>
    <t xml:space="preserve">Object references in a Visual Basic Collection object are stored in Variants — which, like variables declared As Object, </t>
  </si>
  <si>
    <t>can hold references to objects of any class. Instead create collection classes of your own that accept objects of only one</t>
  </si>
  <si>
    <t xml:space="preserve">class, as described in "Creating Your Own Collection Classes." That way, the only collections you need to search for your </t>
  </si>
  <si>
    <t>Widget object are those of type Widget.</t>
  </si>
  <si>
    <t xml:space="preserve">Organize your object into a hierarchy, as described in "Object Models." If all of your objects are connected, It's easy to </t>
  </si>
  <si>
    <t>write a procedure that walks through the whole model and reports on all the existing objects.</t>
  </si>
  <si>
    <t xml:space="preserve">Don't declare variables As New. They're like those birthday candles that re-ignite after you blow them out: If you use one </t>
  </si>
  <si>
    <t>after you've set it to Nothing, Visual Basic obligingly creates another object.</t>
  </si>
  <si>
    <t xml:space="preserve">  </t>
  </si>
  <si>
    <t xml:space="preserve">Some objects are created in your Excel session's 'own' memory space, and their memory allocation is controlled by your </t>
  </si>
  <si>
    <t>session; some objects have persistent components that exist after the object variable is dismissed; and some do not:</t>
  </si>
  <si>
    <t>Set oDict = CreateObject("Scripting.Dictionary")</t>
  </si>
  <si>
    <t>Set oWShell = CreateObject("Shell.Application")</t>
  </si>
  <si>
    <t>In both these cases, memory is allocated, the object variables (and their vTable of pointers to methods and properties) are instantiated, and they are yours to command until you dismiss them:</t>
  </si>
  <si>
    <t>Set oDict = Nothing</t>
  </si>
  <si>
    <t>Set oWShell = Nothing</t>
  </si>
  <si>
    <t>And, on dismissal, no trace of them remains.</t>
  </si>
  <si>
    <t xml:space="preserve">But this object is persistent: </t>
  </si>
  <si>
    <t>Dim oWbk as Excel.Workbook</t>
  </si>
  <si>
    <t>Set oWbk = Application.Workbooks.Add</t>
  </si>
  <si>
    <t xml:space="preserve">...You've created a new workbook object and, if you dismiss the object variable with Set oWbk = Nothing, you will see that </t>
  </si>
  <si>
    <t>the new workbook object still exists as a visible presence in the user interface.</t>
  </si>
  <si>
    <t xml:space="preserve">What you actually created was a Workbook object - a workbook window with an active worksheet and the full user interface </t>
  </si>
  <si>
    <t xml:space="preserve">that goes with that - and a Workbook object variable - a programmer's COM interface, a table of methods and properties for </t>
  </si>
  <si>
    <t>the Workbook object - that you can manipulate in code using the named entity 'oWbk'.</t>
  </si>
  <si>
    <t xml:space="preserve">Dismissing the oWbk object variable removes that framework, but the Workbook itself will still exist: you've created a </t>
  </si>
  <si>
    <t>Workbook object, and it's yours to keep.</t>
  </si>
  <si>
    <t>The object is more than its object variable and dismissing the variable does not destroy the object: it just dismisses an</t>
  </si>
  <si>
    <t>interface, a framework of methods and properties that you can use to manipulate the object in code.</t>
  </si>
  <si>
    <t>Closing the Workbook, with or without saving a file, should automatically dismiss the object variable and clear up the</t>
  </si>
  <si>
    <t xml:space="preserve">memory allocated for that interface of properties, methods and attributes: </t>
  </si>
  <si>
    <t>'try this:</t>
  </si>
  <si>
    <t>oWbk.Close SaveChanges:=False</t>
  </si>
  <si>
    <t>' or maybe this:</t>
  </si>
  <si>
    <t xml:space="preserve">Application.Workbooks(Application.Workbooks.Count).Close SaveChanges:=False </t>
  </si>
  <si>
    <t>...That is to say, you would expect both of those commands to call Set oWbk= Nothing - especially the oWbk.Close command - but if you try either of them without explicitly dismissing oWbk, you will find that oWbk still exists as an empty husk, and all calls and requests for information on it (try&gt; Debug.Print&gt; TypeName(oWbk) ) will return 'Automation Error' messages.</t>
  </si>
  <si>
    <t>Some of the commments in the previous answer mention the UserForm object which - unlike the Dictionary and the Shell object - is an object with a visible user interface. But this user interface is not a persistent new object in the Excel user interface like a Workbook or a worksheet.</t>
  </si>
  <si>
    <t xml:space="preserve">Luckily for you, the object you created is owned by your Excel session, and you can instantiate an object variable again, </t>
  </si>
  <si>
    <t>to get the same framework of methods and properties, and take control of the object again:</t>
  </si>
  <si>
    <t>Set oWbk = Application.Workbooks(Application.Workbooks.Count)</t>
  </si>
  <si>
    <t xml:space="preserve">...Assuming, of course, that you have some way of being sure that you identified the right workbook object: but that's not </t>
  </si>
  <si>
    <t>your question at all.</t>
  </si>
  <si>
    <t>Where this answer is going is: objects that are not created in your Excel session's 'own' memory.</t>
  </si>
  <si>
    <t xml:space="preserve">This statement will create an Excel object which, like the new Workbook, has a User Interface (although you'll need to set </t>
  </si>
  <si>
    <t xml:space="preserve">the .Visible property True to see it) and and a persistent presence in memory: once again, the object is more than its object </t>
  </si>
  <si>
    <t>variable, and dismising the variable does not destroy the object.</t>
  </si>
  <si>
    <t xml:space="preserve">Unlike the new Workbook, it isn't quite yours to command: it's an Excel session in it's own right, it allocates its own </t>
  </si>
  <si>
    <t xml:space="preserve">memory - oApp's 'footprint' in your current session's memory is just the pointer and the name: </t>
  </si>
  <si>
    <t xml:space="preserve">the interface (vTable, iDispatch, and all those named methods with pointers to the structures that implement the arcane </t>
  </si>
  <si>
    <t>act of manipulating an Excel session in VBA) exists in the block of memory allocated by this new Excel session.</t>
  </si>
  <si>
    <t>Here's what happens in Office 2010, and older versions of Excel:</t>
  </si>
  <si>
    <t xml:space="preserve">Dismissing the object variable with Set oApp = Nothing leaves that session up and running, and I would strongly suggest </t>
  </si>
  <si>
    <t>that you make the session visible so that you can close it manually!</t>
  </si>
  <si>
    <t xml:space="preserve">Closing that Excel session manually, without explicitly dismissing the oApp object variable, will definitely leave oApp in </t>
  </si>
  <si>
    <t>the 'empty husk' state, and a grim and headless spectre wailing 'The Automation object has disconnected from its clients!'</t>
  </si>
  <si>
    <t>in the dark corners of your code base.</t>
  </si>
  <si>
    <t xml:space="preserve">But, in Office 2013 and later versions, Set oApp = Nothing performs exactly the reference-counting you would expect and </t>
  </si>
  <si>
    <t>the session closes. Try it:</t>
  </si>
  <si>
    <t>N.B.:=&gt;When the reference count goes to 0, the object is destroyed and cleared from memory and the "classInstance" points to .</t>
  </si>
  <si>
    <t>It won't close on Set oApp = Nothing if another object variable has a reference - and that's not the only entity that gets</t>
  </si>
  <si>
    <t>to increment the reference counter: user activity in the GUI (try creating a new workbook and editing it) keeps the session</t>
  </si>
  <si>
    <t>up and running, too.</t>
  </si>
  <si>
    <t>For your own amusement, see if oApp.Quit closes actually dismiss oApp and sets it to Nothing.</t>
  </si>
  <si>
    <t>Of course, oApp.Quit will definitely close the session...</t>
  </si>
  <si>
    <t xml:space="preserve">...Or will it? If there is something going on in that session - a long calculation, or an 'modal' error message that </t>
  </si>
  <si>
    <t xml:space="preserve">you have to see and click before the Application object responds to any other input, from the user interface or your VBA - </t>
  </si>
  <si>
    <t>then oApp.Quit won't close the session.</t>
  </si>
  <si>
    <t>Lets not go there. All things being equal, oApp.Quit will definitely close the session in 2010 and earlier versions of Excel.</t>
  </si>
  <si>
    <t>But in Office 2013, calling 'Quit' from the last object variable merely hides the UI: the object variable still responds to your code - the methods and properties that don't require an active workbook are still accessible via oApp - and a separate instance of Excel.exe is clearly visible in the Processes tab of Task manager.</t>
  </si>
  <si>
    <t>Likewise, quitting the new session by clicking the 'close' button in the user interface closes the session's windows but, if there's an object variable with a reference to this application object in your code, it's still there, in memory, and 'oApp' can still get at the properties and methods.</t>
  </si>
  <si>
    <t>So the reference counter works both ways in current versions of Excel: the object exists until the reference count decrements to zero, and the last remaining object variable will not be left 'disconnected' by a quit command or UI action.</t>
  </si>
  <si>
    <t>Nevertheless, your session doesn't 'own' that new application object: if you've dismissed the last object variable and set it to Nothing, and there's something else keeping the neww session alive - user activity, or some internal process - there's nothing like the Application.Workbooks() or Worksheets() collection to identify other Excel sessions and instantiate an object variable pointing to a specific instance of an Excel.Application object.</t>
  </si>
  <si>
    <t>There are ways of getting a specific session using API calls, but they aren't as reliable as you might wish them to be.</t>
  </si>
  <si>
    <t xml:space="preserve">Setting oApp = Nothing just destroys the object reference. It doesn't remove the Application. To destroy an Excel object, </t>
  </si>
  <si>
    <t>you have to use it's .Quit method.</t>
  </si>
  <si>
    <t xml:space="preserve">Whenever you do, Set x = Nothing, the reference(pointer) named x to its relevant object is removed. This doesn't mean that </t>
  </si>
  <si>
    <t xml:space="preserve">the object itself will be removed from the memory. Whether the object will be removed from memory or not, depends on </t>
  </si>
  <si>
    <t>various factors.</t>
  </si>
  <si>
    <t xml:space="preserve">Whether there are more references pointing towards the same object. If there are, the object will not be removed. </t>
  </si>
  <si>
    <t>The reference count must be zero.</t>
  </si>
  <si>
    <t>Cross sell and X-sell in SAS</t>
  </si>
  <si>
    <t>Modeling, Predictive Analytics, logistic, Regression, Segment, Chaid, SAS Analytics, Time Series, Cross Sell, X- Sell</t>
  </si>
  <si>
    <t>Vipra Business Consulting Services Pvt. Ltd.</t>
  </si>
  <si>
    <t>Address: C-77, Ist &amp; IInd floor, Sector 2, Noida, Uttar Pradesh 201301</t>
  </si>
  <si>
    <t>Re:=&gt;How to use VLOOKUP to get 2nd, 3rd, 4th, etc. matching values?</t>
  </si>
  <si>
    <t xml:space="preserve">As you already know, Excel VLOOKUP can fetch only one matching value, more precisely, the first found item. </t>
  </si>
  <si>
    <t xml:space="preserve">But what if there are several matches in your lookup array and you want to get the 2nd or 3rd occurrence? </t>
  </si>
  <si>
    <t>Number of Instances:=&gt;</t>
  </si>
  <si>
    <t>Separate Strings</t>
  </si>
  <si>
    <t>NO OF WORDS</t>
  </si>
  <si>
    <t>COMPARE TEXT:=&gt;</t>
  </si>
  <si>
    <t>=EXACT(A1,B1)=&gt;TRUE/FALSE</t>
  </si>
  <si>
    <t>FIND VS SEARCH:=&gt;</t>
  </si>
  <si>
    <t>=SEARCH('soft*2016",A1)</t>
  </si>
  <si>
    <t>Microsoft Excel 2016</t>
  </si>
  <si>
    <t>QZX560=C560</t>
  </si>
  <si>
    <t>Re:=&gt;What is diffrence beetween Module and class Module in vba?</t>
  </si>
  <si>
    <t xml:space="preserve">A standard module can store procedures and functions which can be either Private or Public (the default) and can be accessed either </t>
  </si>
  <si>
    <t>from within that module only (Private) or from anywhere in the project (Public). Modules are also used to store variables, constants</t>
  </si>
  <si>
    <t>and declarations (i.e. API calls) that will need to be accessed from anywhere in the project.</t>
  </si>
  <si>
    <t xml:space="preserve">Class modules allow you to create your own objects which can have their own properties and methods like any other object </t>
  </si>
  <si>
    <t xml:space="preserve">(range, worksheet, Excel, chart, blah, blah). The best way of describing is by use of a simple example. Say you wanted to have </t>
  </si>
  <si>
    <t xml:space="preserve">t would allow you to create an invoice object, assign it a number, customer name, net amount, and VAT. You'd then want to </t>
  </si>
  <si>
    <t>save that invoice as a new workbook. Your code in a standard module might look like this:-</t>
  </si>
  <si>
    <t>Class modules allow you to create and use your own object types in your application.</t>
  </si>
  <si>
    <t>Differences Between Classes and Modules:=&gt;</t>
  </si>
  <si>
    <t>The main difference between classes and modules is that classes can be instantiated as objects while standard modules cannot.</t>
  </si>
  <si>
    <t xml:space="preserve">Because there is only one copy of a standard module's data, when one part of your program changes a public variable in a standard </t>
  </si>
  <si>
    <t xml:space="preserve">module, any other part of the program gets the same value if it then reads that variable. In contrast, object data exists separately </t>
  </si>
  <si>
    <t>for each instantiated object. Another difference is that unlike standard modules, classes can implement interfaces.</t>
  </si>
  <si>
    <t xml:space="preserve">Classes and modules also use different scopes for their members. Members defined within a class are scoped within a specific instance </t>
  </si>
  <si>
    <t xml:space="preserve">of the class and exist only for the lifetime of the object. To access class members from outside a class, you must use fully </t>
  </si>
  <si>
    <t>qualified names in the format of Object.Member.</t>
  </si>
  <si>
    <t>On the other hand, members declared within a module are publicly accessible by default, and can be accessed by any code that can</t>
  </si>
  <si>
    <t xml:space="preserve">access the module. This means that variables in a standard module are effectively global variables because they are visible from </t>
  </si>
  <si>
    <t>anywhere in your project, and they exist for the life of the program.</t>
  </si>
  <si>
    <t>Difference between ADO and DAO:=&gt;</t>
  </si>
  <si>
    <t xml:space="preserve">ByVal Optional. Indicates that the argument is passed by value. </t>
  </si>
  <si>
    <t>ByRef Indicates that the argument is passed by reference. ByRef is the default in Visual Basic.</t>
  </si>
  <si>
    <t>ADO Compared with RDO and DAO(Active-X Data Object/Data Access Objects &amp; Remote Data Objects)</t>
  </si>
  <si>
    <t>ADO isn't automatically code-compatible with your existing data access applications. While ADO encapsulates the functionality of</t>
  </si>
  <si>
    <t>DAO and RDO, you must convert many of the language elements over to ADO syntax. In some cases, this will mean only a simple</t>
  </si>
  <si>
    <t xml:space="preserve">conversion of some functions of your existing code. In other cases, it might be best to rewrite the application using ADO's </t>
  </si>
  <si>
    <t>new features.</t>
  </si>
  <si>
    <t>DAO (Data Access Objects) was the first object-oriented interface that exposed the Microsoft Jet database engine (used by Microsoft</t>
  </si>
  <si>
    <t xml:space="preserve"> Access) and allowed Visual Basic developers to directly connect to Access tables - as well as other databases - through ODBC.</t>
  </si>
  <si>
    <t xml:space="preserve"> DAO is suited best for either single-system applications or for small, local deployments.</t>
  </si>
  <si>
    <t xml:space="preserve">RDO (Remote Data Objects) is an object-oriented data access interface to ODBC combined with the easy-to-use style of DAO, </t>
  </si>
  <si>
    <t xml:space="preserve">providing an interface that exposes virtually all of ODBC’s low-level power and flexibility. RDO is limited, though, in that it </t>
  </si>
  <si>
    <t xml:space="preserve">doesn't access Jet or ISAM databases very well, and that it can access relational databases only through existing ODBC drivers. </t>
  </si>
  <si>
    <t xml:space="preserve">However, RDO has proven to be the interface of choice for a large number of SQL Server, Oracle, and other large relational database </t>
  </si>
  <si>
    <t xml:space="preserve">developers. RDO provides the objects, properties, and methods needed to access the more complex aspects of stored procedures and </t>
  </si>
  <si>
    <t>complex resultsets.</t>
  </si>
  <si>
    <t>ADO is the successor to DAO/RDO. Functionally ADO 2.0 is most similar to RDO, and there's generally a similar mapping between the</t>
  </si>
  <si>
    <t xml:space="preserve">two models. ADO "flattens" the object model used by DAO and RDO, meaning that it contains fewer objects and more properties, methods </t>
  </si>
  <si>
    <t xml:space="preserve">(and arguments), and events. For example, ADO has no equivalents to the rdoEngine and rdoEnvironment objects, which exposed the ODBC </t>
  </si>
  <si>
    <t xml:space="preserve">driver manager and hEnv interfaces. Nor can you currently create ODBC data sources from ADO, despite the fact that your interface </t>
  </si>
  <si>
    <t>might be through the ODBC OLE DB service provider.</t>
  </si>
  <si>
    <t>Much of the functionality contained in the DAO and RDO models was consolidated into single objects, making for a much simpler object</t>
  </si>
  <si>
    <t xml:space="preserve">model. Because of this, however, you might initially find it difficult to find the appropriate ADO object, collection, property, </t>
  </si>
  <si>
    <t>method, or event. Unlike DAO and RDO, although ADO objects are hierarchical, they are also creatable outside the scope of the hierarchy.</t>
  </si>
  <si>
    <t xml:space="preserve">It should be noted, however, that ADO currently doesn't support all of DAO's functionality. ADO mostly includes RDO-style </t>
  </si>
  <si>
    <t>functionality to interact with OLE DB data sources, plus remoting and DHTML technology.</t>
  </si>
  <si>
    <t xml:space="preserve">In general, it's probably too early in the evolution of ADO to migrate most DAO applications (except possibly ones using ODBCDirect) </t>
  </si>
  <si>
    <t xml:space="preserve">to ADO right now, since ADO doesn't currently support data definition (DDL), users, groups, and so forth. If you use DAO only for </t>
  </si>
  <si>
    <t>client-server applications and don't rely on the Jet database engine or use DDL, however, then you can probably migrate to ADO now. Eventually, Microsoft will provide an ADO DDL component to aid in DAO-to-ADO migration and provide generic DDL support for OLE DB providers.</t>
  </si>
  <si>
    <t>DAO is a much better choice than ADO for Access</t>
  </si>
  <si>
    <t xml:space="preserve">I agree that DAO is probably the better choice, but I generally use ADO against SQL Server, plus my habits die hard, and using ADO </t>
  </si>
  <si>
    <t>most of the time is fine until I run into an issue like this :P Oh well, need to ingrain myself to use DAO from now on (in these types of projects).</t>
  </si>
  <si>
    <t xml:space="preserve">ADO will be having Excel run the query with Access just as the data source, whereas DAO will have Access run the query and return </t>
  </si>
  <si>
    <t>the data to Excel. As some have mentioned DAO is best for Access with ADO being the choice for dedicated servers such as MS SQL,</t>
  </si>
  <si>
    <t xml:space="preserve"> Oracle, MySQL etc</t>
  </si>
  <si>
    <t>What are the Microsoft Data Access Components?</t>
  </si>
  <si>
    <t xml:space="preserve">The Microsoft Data Access Components (MDAC) are the key technologies that enable Universal Data Access. Data-driven client/server </t>
  </si>
  <si>
    <t>applications deployed over the Web or a LAN can use these components to easily integrate information from a variety of sources,</t>
  </si>
  <si>
    <t>both relational (SQL) and non relational. These components include Microsoft ActiveX Data Objects (ADO), OLE DB, and Open Database</t>
  </si>
  <si>
    <t>Connectivity (ODBC).</t>
  </si>
  <si>
    <t>ActiveX Data Objects (ADO):=&gt;</t>
  </si>
  <si>
    <t xml:space="preserve">ADO is the strategic application programming interface (API) to data and information. ADO provides consistent, high-performance </t>
  </si>
  <si>
    <t>access to data and supports a variety of development needs, including the creation of front-end database clients and middle-tier business objects that use applications, tools, languages, or Internet browsers. ADO is designed to be the one data interface needed for single and multi-tier client/server and Web-based data-driven solution development. The primary benefits of ADO are ease of use, high speed, low memory overhead, and a small disk footprint.</t>
  </si>
  <si>
    <t xml:space="preserve">ADO provides an easy-to-use interface to OLE DB, which provides the underlying access to data. ADO is implemented minimal network </t>
  </si>
  <si>
    <t xml:space="preserve">traffic in key scenarios, and a minimal number of layers between the front end and data source-all to provide a lightweight, </t>
  </si>
  <si>
    <t xml:space="preserve">high-performance interface. ADO is easy to use because it uses a familiar metaphor-the COM automation interface, available from all </t>
  </si>
  <si>
    <t>leading Rapid Application Development (RAD) tools, database tools, and languages on the market today. ADO is a nice wrapper for OLD-DB.</t>
  </si>
  <si>
    <t>OLE DB :=&gt;</t>
  </si>
  <si>
    <t>OLE-DB is the Microsoft strategic system-level programming interface to data across the organization. OLE DB is an open specification</t>
  </si>
  <si>
    <t>designed to build on the success of ODBC by providing an open standard for accessing all kinds of data. Whereas ODBC was created to</t>
  </si>
  <si>
    <t>access relational databases, OLE DB is designed for relational and non relational information sources, including mainframe ISAM/VSAM</t>
  </si>
  <si>
    <t>and hierarchical databases; e-mail and file system stores; text, graphical, and geographical data; custom business objects; and more.</t>
  </si>
  <si>
    <t xml:space="preserve">OLE DB defines a collection of COM interfaces that encapsulate various database management system services. These interfaces enable </t>
  </si>
  <si>
    <t>the creation of software components that implement such services. OLE DB components consist of data providers, which contain and</t>
  </si>
  <si>
    <t xml:space="preserve">expose data; data consumers, which use data; and service components, which process and transport data (such as query processors and </t>
  </si>
  <si>
    <t xml:space="preserve">cursor engines). OLE DB interfaces are designed to help components integrate smoothly so that OLE DB component vendors can bring </t>
  </si>
  <si>
    <t xml:space="preserve">high-quality OLE DB components to market quickly. In addition, OLE DB includes a bridge to ODBC to enable continued support for the </t>
  </si>
  <si>
    <t>broad range of ODBC relational database drivers available today.</t>
  </si>
  <si>
    <t>Open Database Connectivity (ODBC):=&gt;</t>
  </si>
  <si>
    <t xml:space="preserve">The ODBC interface is an industry standard and a component of Microsoft Windows Open Services Architecture (WOSA). The ODBC </t>
  </si>
  <si>
    <t xml:space="preserve">interface makes it possible for applications to access data from a variety of database management systems (DBMSs). ODBC permits maximum interoperability-an application can access data in diverse DBMSs through a single interface. Furthermore, that application will be independent of any DBMS from which it accesses data. Users of the application can add software components called drivers, which create an interface between an application and a specific DBMS. </t>
  </si>
  <si>
    <t>When should you use OLE-DB, ADO, DAO, or ODBC ?</t>
  </si>
  <si>
    <t>ADO is a wrapper around OLE-DB so you can use ADO or OLE-DB.</t>
  </si>
  <si>
    <t xml:space="preserve">Non-OLE environment : If a database supports ODBC and and that database is on a server that don't support OLE then ODBC is your best choice. </t>
  </si>
  <si>
    <t>Non-SQL environment : ODBC is designed to work with SQL. If you have non-SQL environment then OLE-DB is better choice.</t>
  </si>
  <si>
    <t>OLE environment : If you already have ODBC drives then you can use ODBC, otherwise use OLE-DB.</t>
  </si>
  <si>
    <t>Interoperability required : If you need interoperable database components, then OLE-DB is your best choice.</t>
  </si>
  <si>
    <t>16-Bit data access support : ADO don't support 16 bit so ODBC is the only choice.</t>
  </si>
  <si>
    <t xml:space="preserve">Using multiple databases - If you are using databases that support Microsoft's jet engine then definite choice is ADO or DAO. </t>
  </si>
  <si>
    <t xml:space="preserve">By using ADO you get workspace level support for transaction. That means you can connect more than one database at a time in an </t>
  </si>
  <si>
    <t xml:space="preserve"> application, which is impossible by using ODBC. You can only connect one database at a time by using ODBC.</t>
  </si>
  <si>
    <t>ADO is a superset of DAO in functionality point of view. In fact ADO is a combination of DAO + RDO. I would prefer ADO in these cases.</t>
  </si>
  <si>
    <t xml:space="preserve">1. If you are proficient in COM programming. </t>
  </si>
  <si>
    <t xml:space="preserve">2. If your server supports OLE environment. </t>
  </si>
  <si>
    <t xml:space="preserve">3. If you want workspace-level and multi database type ( Relational, indexed, ISAM type, text files supports ). </t>
  </si>
  <si>
    <t xml:space="preserve">DAO is best choice when you have DAO components installed on your machine and you are using Microsoft's jet database engine based </t>
  </si>
  <si>
    <t>databases such as MS-Access, SQL Server, MS-Excel or Paradox. This is fastest and easiest mathod o access databases.</t>
  </si>
  <si>
    <t xml:space="preserve">databases such as MS-Access, SQL Server, MS-Excel or Paradox. This is fastest and easiest method to access databases. </t>
  </si>
  <si>
    <t xml:space="preserve">ODBC is for various type of database which provides ODBC drives such as SQL Server, Oracle, MS-Access. </t>
  </si>
  <si>
    <t>Additional advantage is DAO is workspace-level support.</t>
  </si>
  <si>
    <t>Advantages of DAO: Easy to use. Workspace level support. Both MFC and API provides DAO support. Speed is relatively faster than ODBC</t>
  </si>
  <si>
    <t>for jet database engine databases.</t>
  </si>
  <si>
    <t>Advantages of ODBC : Easy to use specially when developer are not familiar with COM environment. SQL support.</t>
  </si>
  <si>
    <t>Both API and MFC support. Good for relational databases only.</t>
  </si>
  <si>
    <t xml:space="preserve">Advantages of ADO or OLE-DB : Workspace-level support. Fastest method to access various kind of databases. Easy to use if you are </t>
  </si>
  <si>
    <t>familiar with COM environment. Provides access to relational, non relational and other types of data.</t>
  </si>
  <si>
    <t xml:space="preserve">Background - using Excel vba to pull data from an Access database. When user clicks a button, a recordset is pulled from Access, </t>
  </si>
  <si>
    <t xml:space="preserve">and it populates various data to the spreadsheet. Then, another recordset is pulled from a different query to populate another part </t>
  </si>
  <si>
    <t>of the spreadsheet.</t>
  </si>
  <si>
    <t>Key Diffrences in ADO and DAO:=&gt;Informational purposes</t>
  </si>
  <si>
    <t xml:space="preserve">1-ADO uses % wildcard whereas DAO uses * wildcards.s    </t>
  </si>
  <si>
    <t>2-DAO is a better choice as it is native to Access and gives more control than ADO</t>
  </si>
  <si>
    <t>3-ADO "Active X Data Objects" is an industry friendly connection to almost all types of database.</t>
  </si>
  <si>
    <t>4-With a standard query there is no reason in this case why ADO should return no records where DAO does.</t>
  </si>
  <si>
    <t xml:space="preserve">5-DAO is best choice when you have DAO components installed on your machine and you are using Microsoft's jet database engine based </t>
  </si>
  <si>
    <t xml:space="preserve">6-By using ADO you get workspace level support for transaction. That means you can connect more than one database at a time in an </t>
  </si>
  <si>
    <t>application, which is impossible by using ODBC. You can only connect one database at a time by using ODBC.</t>
  </si>
  <si>
    <t xml:space="preserve">7-ADO provides an easy-to-use interface to OLE DB, which provides the underlying access to data. ADO is implemented minimal network </t>
  </si>
  <si>
    <t>leading Rapid Application Development (RAD) tools, database tools, and languages on the market today. ADO is a nice wrapper for OLD-Database.</t>
  </si>
  <si>
    <t>8-DAO is suited best for either single-system applications or for small, local deployments.</t>
  </si>
  <si>
    <t>9-RDO has proven to be the interface of choice for a large number of SQL Server, Oracle, and other large relational database developers. RDO provides the objects, properties, and methods needed to access the more complex aspects of stored procedures and complex resultsets.</t>
  </si>
  <si>
    <t xml:space="preserve">have explicit data types. This is all well and good, but there may be circumstances in which the number of parameters cannot </t>
  </si>
  <si>
    <t xml:space="preserve">be known until run-time. There are two methods that you can use to handle a variable number of parameters. </t>
  </si>
  <si>
    <t xml:space="preserve">The first, Optional Variants, defines a fixed number of parameters but makes these parameters optional, effectively </t>
  </si>
  <si>
    <t>putting an upper limit on the number of paramters than may be passed. The second method is to use a ParamArray type parameter.</t>
  </si>
  <si>
    <t xml:space="preserve">This allows for any number of parameters, including none. In either method, if your procedure requires some parameters but </t>
  </si>
  <si>
    <t xml:space="preserve">not others, declare all the required parameters first and then declare the optional parameters with either the Optional </t>
  </si>
  <si>
    <t>attribute or with a ParamArray type parameter after declaring the required parameters.</t>
  </si>
  <si>
    <t>SectionBreak</t>
  </si>
  <si>
    <t>Optional Variants</t>
  </si>
  <si>
    <t>You can declare one or more parameters as optional parameters of the Variant data type. With these optional Variant parameters</t>
  </si>
  <si>
    <t xml:space="preserve">,you can use the IsMissing function to determine whether a parameter was included or omitted. There are a few rules that govern the </t>
  </si>
  <si>
    <t>use optional parameters:</t>
  </si>
  <si>
    <t>The Optional keyword must be present to make a parameter optional.</t>
  </si>
  <si>
    <t>The data type should be (but need not be, see below) a Variant data type.</t>
  </si>
  <si>
    <t>The optional parameter(s) must be at the end of the parameter list.</t>
  </si>
  <si>
    <t>The IsMissing function will work only with parameters declared as Variant. It will return False when used with any other data type.</t>
  </si>
  <si>
    <t>User defined types (UTDs) cannot be optional parameters.</t>
  </si>
  <si>
    <t>We'll examine each of the rules. First, the keyword Optional must be used in the parameter declaration. This keyword is what makes the parameter optional. Without it, the parameter is required. For example,</t>
  </si>
  <si>
    <t>Function Test(L1 As Long, L2 As Long, Optional P1 As Variant, Optional P2 As Variant) As String</t>
  </si>
  <si>
    <t xml:space="preserve">In this example, L1 and L2 are required parameters and P1 and P2 are optional parameters. Since P1 and P2 are Variant types, </t>
  </si>
  <si>
    <t>we can use the IsMissing to determine whether the parameters were passed to the procedure.</t>
  </si>
  <si>
    <t xml:space="preserve">The data type should be a Variant type varible. Actually, this is only partially true. If you need to test specifically whether a </t>
  </si>
  <si>
    <t>parameter was actually passed to the procedure, you must declare it as a Variant so you can use the IsMissing function to determine</t>
  </si>
  <si>
    <t xml:space="preserve">if the parameter was passed. IsMissing may be used only with Variant types. It will return False for any other data type, even it </t>
  </si>
  <si>
    <t xml:space="preserve">that parameter is declared as Optional and is in fact missing. An optional parameter that is not a Variant will be assigned the </t>
  </si>
  <si>
    <t xml:space="preserve">default value for that data type (0 for numeric data types, and empty string for String types, and Nothing for all object type </t>
  </si>
  <si>
    <t>variables. For example,</t>
  </si>
  <si>
    <t xml:space="preserve">    Function Test(L1 As Long, L2 As Long, _</t>
  </si>
  <si>
    <t xml:space="preserve">            Optional P1 As Variant, Optional P2 As Variant) As String </t>
  </si>
  <si>
    <t xml:space="preserve">        Dim S As String</t>
  </si>
  <si>
    <t xml:space="preserve">        If IsMissing(P1) = True Then</t>
  </si>
  <si>
    <t xml:space="preserve">            S = "P1 Is Missing."</t>
  </si>
  <si>
    <t xml:space="preserve">        Else</t>
  </si>
  <si>
    <t xml:space="preserve">            S = "P1 Is Present (P1 = " &amp; CStr(P1) &amp; ")"</t>
  </si>
  <si>
    <t xml:space="preserve">        If IsMissing(P2) = True Then</t>
  </si>
  <si>
    <t xml:space="preserve">            S = S &amp; "  " &amp; "P2 Is Missing"</t>
  </si>
  <si>
    <t xml:space="preserve">            S = S &amp; "  " &amp; "P2 Is Present (P2 = " &amp; CStr(P2) &amp; ")"</t>
  </si>
  <si>
    <t xml:space="preserve">        Test = S</t>
  </si>
  <si>
    <t xml:space="preserve">    End Function</t>
  </si>
  <si>
    <t>Here, both L1 and L2 are required but P1 and P2 are optional. Since both are Variant types, we can use IsMissing to determine whether the parameter was passed in. IsMissing returns True of the Variant parameter is omitted, or False is the Variant parameter is included. If the data type of the optional parameter is any data type other than Variant, IsMissing will return False.</t>
  </si>
  <si>
    <t>However, you can declare optional parameters of any data type and provide a default value to be used if that parameter is omitted. But the IsMissing function works only with Variant data types, so if you use an optional Long with a default value, there is no way to determine whether that parameter was actually passed to the procedure with a value that happens to be the same as the default value, or whether the parameter was omitted. For example,</t>
  </si>
  <si>
    <t>Function Test2(Optional V As Variant, Optional L As Long = -1) As String</t>
  </si>
  <si>
    <t>Here, both V and L are optional, but only V is a Variant type, so only V may be tested with the IsMissing function. If L is omitted, IsMissing will return False since L is not a Variant. If omitted, L will have a value of -1. This may well be sufficient, but there is no way to determine whether L was actually passed into the procedure. If you write code such as this, you should choose a default value that will never occur if optional value is passed in. What that default value should be depends entirely on what the procedure does and the operating environment in which it is used.</t>
  </si>
  <si>
    <t xml:space="preserve">Optional parameters must be the last parameters declared for the procedure. That is, once one parameter is declared as Optional only other Optional parameters may follow it. (This is not the case for Property procedures. See the section on Property Procedures later in this article.) The first procedure declarion shown below (GoodFunction) is valid because all the optional parameters are at the end of the parameter list. The second procedure declaration (BadFunction) is invalid because a required parameter (L2) follows an optional parameter (M1). You will get a compiler error ("Expected: Optional") if you attempt to use code like the BadFunction declaration. </t>
  </si>
  <si>
    <t xml:space="preserve">    Function GoodFunction(L1 As Long, L2 As Long, _</t>
  </si>
  <si>
    <t xml:space="preserve">        Optional M1 As Variant, Optional M2 As Variant) As Variant</t>
  </si>
  <si>
    <t xml:space="preserve">    Function BadFunction(L1 As Long, Optional M1 As Variant, _</t>
  </si>
  <si>
    <t xml:space="preserve">        L2 As Long, Optional M2 As Variant) As Variant</t>
  </si>
  <si>
    <t>A User Defined Type (UDT -- a structure declared with the Type keyword) cannot be an optional parameter, nor can a UDT be an element in a ParamArray parameter type. Code that attempts to do this will cause the compiler to emit an error.</t>
  </si>
  <si>
    <t>ParamArray Parameter Type</t>
  </si>
  <si>
    <t>By using the Optional keyword, you can declare a function that accepts both required and optional parameters, but you are still limited to a fixed number of parameters. For example, the declaration</t>
  </si>
  <si>
    <t>Sub Test(L1 As Long, Optional P1 As Variant, Optional P2 As Variant)</t>
  </si>
  <si>
    <t>allows P1 and P2 as optional parameters, but this function is still limited to a maximum of three parameters -- you can't pass in four or more parameters. Moreover, each optional parameter must be tested with IsMissing to determine whether it was passed. This can be onerous if you have a large number of optional parameters.</t>
  </si>
  <si>
    <t>The solution to this problem is the ParamArray parameter type. A ParamArray allows any number of parameters, including none at all, to be passed into a procedure. Note that a ParamArray allows for optional parameters following any number of required parameters. Only the ParamArray elements are option. Any parameters declared before the ParamArray are required. There are a few rules for using a ParamArray:</t>
  </si>
  <si>
    <t>The ParamArray variable must be an array of Variant data types.</t>
  </si>
  <si>
    <t>The ParamArray variable must be the last parameter in the parameter list. (The reason for this is that were another parameter to follow the ParamArray, it would be impossible for the code to determine where the ParamArray variables end and the subsequent variables begin.)</t>
  </si>
  <si>
    <t>No Optional parameters may appear in the parameter list. That is, the usages of Optional and ParamArray are mutually exclusive. You can have one or neither, but not both.</t>
  </si>
  <si>
    <t>The function must declare at most one ParamArray variable. It is illegal (and nonsensical if you really think about it) to have two ParamArray parameters declared for a procedure.</t>
  </si>
  <si>
    <t>Since a ParamArray parameter is an array, it is always passed by reference (ByRef) so any changes in the called procedure (which declares the ParamArray) to the elements in the ParamArray are changed in the calling procedure. (See Passing And Returning Arrays for more information about passing arrays.)</t>
  </si>
  <si>
    <t>The base of the ParamArray array is 0, regardless of the setting of the module's Option Base statement. If zero parameters are passed, the LBound is 0 and the UBound is -1.</t>
  </si>
  <si>
    <t>A User Defined Type (UDT) cannot be an element of a ParamArray parameter type.</t>
  </si>
  <si>
    <t>The following is an example of a procedure declaration that accepts one required parameter, L1, and then accepts any number of additional parameters in the ParamArray Args() parameter.</t>
  </si>
  <si>
    <t>Sub Test(L1 As Long, ParamArray Args() As Variant)</t>
  </si>
  <si>
    <t>Since the ParamArray Args() parameter is an array, you can use normal array methods on the array. For example, you can loop through the elemets:</t>
  </si>
  <si>
    <t xml:space="preserve">    Function SumUp(ParamArray Args() As Variant) As Double</t>
  </si>
  <si>
    <t xml:space="preserve">        Dim Sum As Double</t>
  </si>
  <si>
    <t xml:space="preserve">        Dim Ndx As Long</t>
  </si>
  <si>
    <t xml:space="preserve">        For Ndx = LBound(Args) To UBound(Args)</t>
  </si>
  <si>
    <t xml:space="preserve">            Sum = Sum + Args(Ndx)</t>
  </si>
  <si>
    <t xml:space="preserve">        Next Ndx</t>
  </si>
  <si>
    <t xml:space="preserve">        SumUp = Sum</t>
  </si>
  <si>
    <t>Since the data type of the ParamArray Args() As Variant declares Variant data type, the elements of Args may contain anything, including numbers, strings, objects, and arrays, in addition to being Empty or NULL. Unless you have tight control over what is being passed in the array, your code should check the type of each Args element to ensure it is valid. For example, a better version of the SumUp function above would be:</t>
  </si>
  <si>
    <t xml:space="preserve">    Function SumUpBetter(ParamArray Args() As Variant) As Double</t>
  </si>
  <si>
    <t xml:space="preserve">            If IsNull(Args(Ndx)) = False Then</t>
  </si>
  <si>
    <t xml:space="preserve">                If IsArray(Args(Ndx)) = False Then</t>
  </si>
  <si>
    <t xml:space="preserve">                    If IsObject(Ndx) = False Then</t>
  </si>
  <si>
    <t xml:space="preserve">                        If IsError(Ndx) = False Then</t>
  </si>
  <si>
    <t xml:space="preserve">                             Sum = Sum + Args(Ndx)</t>
  </si>
  <si>
    <t xml:space="preserve">                        End If</t>
  </si>
  <si>
    <t xml:space="preserve">                    End If</t>
  </si>
  <si>
    <t xml:space="preserve">                End If</t>
  </si>
  <si>
    <t xml:space="preserve">        SumUpBetter = Sum</t>
  </si>
  <si>
    <t>While all this testing may seem like overkill, you must remember that with a Variant, you have no control over what that variable might contain and your code should test for possible errors.</t>
  </si>
  <si>
    <t>You cannot have optional arguments within the ParamArray itself. If you omit an argument in a ParamArray an error is placed in that element of the array. For example,</t>
  </si>
  <si>
    <t xml:space="preserve">    Function FFF(ParamArray Args() As Variant) As Long</t>
  </si>
  <si>
    <t xml:space="preserve">        Dim N As Long</t>
  </si>
  <si>
    <t xml:space="preserve">        Dim D As Double</t>
  </si>
  <si>
    <t xml:space="preserve">        For N = LBound(Args) To UBound(Args)</t>
  </si>
  <si>
    <t xml:space="preserve">            If IsError(Args(N)) = True Then</t>
  </si>
  <si>
    <t xml:space="preserve">                Debug.Print "ERROR In ParamArray At Element: " &amp; CStr(N)</t>
  </si>
  <si>
    <t xml:space="preserve">            Else</t>
  </si>
  <si>
    <t xml:space="preserve">                D = D + Args(N)</t>
  </si>
  <si>
    <t xml:space="preserve">        Next N</t>
  </si>
  <si>
    <t xml:space="preserve">        FFF = D</t>
  </si>
  <si>
    <t>Call this function with code like the following:</t>
  </si>
  <si>
    <t xml:space="preserve">    Sub AAA()</t>
  </si>
  <si>
    <t xml:space="preserve">        D = FFF(1, , 3, 4)</t>
  </si>
  <si>
    <t xml:space="preserve">        Debug.Print D</t>
  </si>
  <si>
    <t xml:space="preserve">    End Sub</t>
  </si>
  <si>
    <t>This will illustrate that the second value passed in the ParamArray (the missing element) is treated as an error by the code in function FFF.</t>
  </si>
  <si>
    <t>The array variable declared as a ParamArray has a LBound value of 0, regardless of the module's Option Base setting. If no parameters were passed via the ParamArray variable, the LBound of the ParamArray is 0 and the UBound of the ParamArray is -1. The number of elements in the ParamArray can be determine code similar to the following:</t>
  </si>
  <si>
    <t xml:space="preserve">        Dim NumArgs As Long</t>
  </si>
  <si>
    <t xml:space="preserve">        NumArgs = UBound(Args) - LBound(Args) + 1</t>
  </si>
  <si>
    <t xml:space="preserve">        FFF = NumArgs</t>
  </si>
  <si>
    <t>Optional Arguments In Property Procedures</t>
  </si>
  <si>
    <t>The rules for working with Optional parameters and ParamArray variables are different when working with Proprerty procedures in class modules. Typically, a Property Get declarations take no parameters an return a single value. A typical Property Let procedure take one parameter, the value of that property. However, it is perfectly legal to use optional parameters in a procedure's declaration. For example, the following code is valid:</t>
  </si>
  <si>
    <t xml:space="preserve">    Public Property Get Value(Optional A As Integer, Optional B As Integer) As Long</t>
  </si>
  <si>
    <t xml:space="preserve">        Value = pValue + A + B</t>
  </si>
  <si>
    <t xml:space="preserve">    End Property</t>
  </si>
  <si>
    <t xml:space="preserve">    Public Property Let Value(A As Integer, B As Integer, V As Long)</t>
  </si>
  <si>
    <t xml:space="preserve">        pValue = A + B + V</t>
  </si>
  <si>
    <t>A few things are noteworthy. The parameter declarations of the Get procedure must match the parameter declaration of Let, but the last (or only) parameter to the Let procedure must matct the return data type of the Get procedure. You can see this in the code above in which the return type of the Get Value procedure is a Long, the same as the last parameter of the Let procedure (parameter V). You'll also notice that the parameters A and B of the Get procedures are declared Optional while they are required in the Let procedure. Their data types (Integer in the example) must match, but they need not match in optionality.</t>
  </si>
  <si>
    <t xml:space="preserve">Like the optional parameters shown above, a Propert Get/Let pair may use a ParamArray parameter. As before, the variable types of the Get/Let pair must match. For example, </t>
  </si>
  <si>
    <t xml:space="preserve">    Public Property Let Value2(ParamArray Args() As Variant, V As Long)</t>
  </si>
  <si>
    <t xml:space="preserve">        ' some code</t>
  </si>
  <si>
    <t xml:space="preserve">    Public Property Get Value2(ParamArray Args() As Variant) As Long</t>
  </si>
  <si>
    <t>Note here than the last argument to the Let procedure (parameter V) is the same type as the return type of the Get procedure. In practical terms, you will likely use the ParamArray array in a Property Let procedure than you would in a Property Get procedure, but just be aware that the ParamArray must exist in both procedures even if you use it only in one.</t>
  </si>
  <si>
    <t>This differing behavior between Property Get/Let procedures and regular Sub and Function procedures (such as having optional parameters occurring before required parameters) becomes clear when you see how those properties are used in code. Using the Value2 Get/Let properties shown above, we would access these properties with code like the following:</t>
  </si>
  <si>
    <t xml:space="preserve">    Dim C As Class1</t>
  </si>
  <si>
    <t xml:space="preserve">    Dim L As Long</t>
  </si>
  <si>
    <t xml:space="preserve">    Set C = New Class1</t>
  </si>
  <si>
    <t xml:space="preserve">    ' LET Value2</t>
  </si>
  <si>
    <t xml:space="preserve">    C.Value2(1, 2, 3) = 5</t>
  </si>
  <si>
    <t xml:space="preserve">    ' GET Value2</t>
  </si>
  <si>
    <t xml:space="preserve">    L = C.Value2(11, 22, 33)</t>
  </si>
  <si>
    <t xml:space="preserve">In the Let procedure, the ParamArray applies to the values within the parentheses (1, 2, 3), and the actual property assignment </t>
  </si>
  <si>
    <t xml:space="preserve">variable (V in the declaration, 5 in the sample code) is the last parameter declared for the Let procedure. If you find yourself </t>
  </si>
  <si>
    <t>declaring multiple parameters for a Get or Let procedure, you may want to consider changing it from a property to a method of the class.</t>
  </si>
  <si>
    <t>Re:=&gt;Delete all files in folder and subfolders</t>
  </si>
  <si>
    <t>Sub sbDeleteFiles()</t>
  </si>
  <si>
    <t>'macro to delete all files in a folder</t>
  </si>
  <si>
    <t>Dim FileSys As FileSystemObject</t>
  </si>
  <si>
    <t>Dim objFile As File</t>
  </si>
  <si>
    <t>Dim myFolder</t>
  </si>
  <si>
    <t xml:space="preserve">    'set path for files - change for your folder</t>
  </si>
  <si>
    <t xml:space="preserve">    Const myDir As String = "C:\delete these files"</t>
  </si>
  <si>
    <t xml:space="preserve">    'set up filesys objects</t>
  </si>
  <si>
    <t xml:space="preserve">    Set FileSys = New FileSystemObject </t>
  </si>
  <si>
    <t xml:space="preserve">    Set myFolder = FileSys.GetFolder(myDir)</t>
  </si>
  <si>
    <t xml:space="preserve">    'loop through each file and check for name match</t>
  </si>
  <si>
    <t xml:space="preserve">    For Each objFile In myFolder.Files</t>
  </si>
  <si>
    <t xml:space="preserve">        If Left(objFile.Name, 1) &lt;&gt; "~" And objFile.Name &lt;&gt; ThisWorkbook.Name Then</t>
  </si>
  <si>
    <t xml:space="preserve">            objFile.Delete</t>
  </si>
  <si>
    <t xml:space="preserve">    Next objFile</t>
  </si>
  <si>
    <t xml:space="preserve">    Set FileSys = Nothing</t>
  </si>
  <si>
    <t xml:space="preserve">    Set myFolder = Nothing</t>
  </si>
  <si>
    <t>Sub DeleteFiles()</t>
  </si>
  <si>
    <t xml:space="preserve">    Call RecursiveFolder("C:\Path")</t>
  </si>
  <si>
    <t>Sub RecursiveFolder(MyPath As String)</t>
  </si>
  <si>
    <t xml:space="preserve">    Dim FileSys As FileSystemObject</t>
  </si>
  <si>
    <t xml:space="preserve">    Dim objFolder As Folder</t>
  </si>
  <si>
    <t xml:space="preserve">    Dim objSubFolder As Folder</t>
  </si>
  <si>
    <t xml:space="preserve">    Dim objFile As File</t>
  </si>
  <si>
    <t xml:space="preserve">    Set FileSys = CreateObject("Scripting.FileSystemObject")</t>
  </si>
  <si>
    <t xml:space="preserve">    Set objFolder = FileSys.GetFolder(MyPath)</t>
  </si>
  <si>
    <t xml:space="preserve">    For Each objFile In objFolder.Files</t>
  </si>
  <si>
    <t xml:space="preserve">    For Each objSubFolder In objFolder.SubFolders</t>
  </si>
  <si>
    <t xml:space="preserve">        RecursiveFolder MyPath &amp; "\" &amp; objSubFolder.Name</t>
  </si>
  <si>
    <t xml:space="preserve">    Next objSubFolder</t>
  </si>
  <si>
    <t xml:space="preserve">    Set objFolder = Nothing</t>
  </si>
  <si>
    <t xml:space="preserve">    Set objSubFolder = Nothing</t>
  </si>
  <si>
    <t xml:space="preserve">    Set objFile = Nothing</t>
  </si>
  <si>
    <t>Re: Delete all files in folder EXCEPT xls files</t>
  </si>
  <si>
    <t>Sub sbDeletetingAFile()</t>
  </si>
  <si>
    <t>'In this Example I am deleting a File 'Sample.xls' which exists in the same location of the macro file</t>
  </si>
  <si>
    <t>Dim FSO</t>
  </si>
  <si>
    <t>Dim sFile As String</t>
  </si>
  <si>
    <t>'Source File Location</t>
  </si>
  <si>
    <t>sFile = "D:\Job\" &amp; "Sample.xls"   'You can change this Loaction</t>
  </si>
  <si>
    <t>'Set Object</t>
  </si>
  <si>
    <t>Set FSO = CreateObject("Scripting.FileSystemObject")</t>
  </si>
  <si>
    <t>'Check File Exists or Not</t>
  </si>
  <si>
    <t>If FSO.FileExists(sFile) Then</t>
  </si>
  <si>
    <t>'If file exists, It will delete the file from source location</t>
  </si>
  <si>
    <t>FSO.DeleteFile sFile, True</t>
  </si>
  <si>
    <t>MsgBox "Deleted The File Successfully", vbInformation, "Done!"</t>
  </si>
  <si>
    <t>'If file does not exists, It will display following message</t>
  </si>
  <si>
    <t>MsgBox "Specified File Not Found", vbInformation, "Not Found!"</t>
  </si>
  <si>
    <t xml:space="preserve">Public SubTest() </t>
  </si>
  <si>
    <t xml:space="preserve">    Dim flDlg As FileDialog </t>
  </si>
  <si>
    <t xml:space="preserve">    Dim iCount As Integer </t>
  </si>
  <si>
    <t xml:space="preserve">    Set flDlg = Application.FileDialog(msoFileDialogFolderPicker) </t>
  </si>
  <si>
    <t xml:space="preserve">    flDlg.Show </t>
  </si>
  <si>
    <t xml:space="preserve">    iCount = DelFiles(flDlg.SelectedItems(1), "CSV") </t>
  </si>
  <si>
    <t xml:space="preserve">    MsgBox CStr(iCount) &amp; " files were deleted from " &amp; flDlg.SelectedItems(1), vbInformation, "Finished" </t>
  </si>
  <si>
    <t xml:space="preserve">Sub sbDeleteFile() </t>
  </si>
  <si>
    <t xml:space="preserve">  'You can use this to delete all (xls,xlsm,csv) files in the Test folder </t>
  </si>
  <si>
    <t xml:space="preserve">    On Error Resume Next  </t>
  </si>
  <si>
    <t xml:space="preserve">    On Error Goto 0 </t>
  </si>
  <si>
    <t xml:space="preserve">Sub Deleteanyfilefromfolder() </t>
  </si>
  <si>
    <t xml:space="preserve">     'You can use this to delete all/anyfile type from folders</t>
  </si>
  <si>
    <t xml:space="preserve">    On Error Resume Next </t>
  </si>
  <si>
    <t xml:space="preserve">   Kill "C:\Users\Surendra\Desktop\New Folders\*.bmp"</t>
  </si>
  <si>
    <t>Re:=&gt;count files in specific folder and display the number into 1 cel [closed]</t>
  </si>
  <si>
    <t xml:space="preserve">    Dim FolderPath, Filename As String, path As String, count As Integer</t>
  </si>
  <si>
    <t xml:space="preserve">    FolderPath = "C:\Users\Surendra\Desktop\New Folders\*.csv"</t>
  </si>
  <si>
    <t xml:space="preserve">    path = FolderPath</t>
  </si>
  <si>
    <t xml:space="preserve">    Filename = Dir(path)</t>
  </si>
  <si>
    <t xml:space="preserve">    Do While Filename &lt;&gt; ""</t>
  </si>
  <si>
    <t xml:space="preserve">        Filename = Dir()</t>
  </si>
  <si>
    <t>Re:=&gt;counts the number of files in a folder and also iterates through the files and lists their filenames in the ActiveSheet.</t>
  </si>
  <si>
    <t>Sub sbCountFiles()</t>
  </si>
  <si>
    <t>'counts the number of files in a folder and also iterates through the files and lists their filenames in the ActiveSheet.</t>
  </si>
  <si>
    <t xml:space="preserve">    Dim obj, fso, objFiles As Object</t>
  </si>
  <si>
    <t xml:space="preserve">    strDir = "C:\Users\Surendra\Desktop\Surendra"</t>
  </si>
  <si>
    <t>'Active worksheet should be a blank worksheet</t>
  </si>
  <si>
    <t xml:space="preserve">      ActiveSheet.Cells(Rows.count, "A").End(xlUp).Offset(1, 0) = obj.Name</t>
  </si>
  <si>
    <t>Sub CountFiles()</t>
  </si>
  <si>
    <t>Dim xFolder,xPath,xFile As String</t>
  </si>
  <si>
    <t>Dim xCount As Long</t>
  </si>
  <si>
    <t>Dim xFiDialog As FileDialog</t>
  </si>
  <si>
    <t>Set xFiDialog = Application.FileDialog(msoFileDialogFolderPicker)</t>
  </si>
  <si>
    <t>If xFiDialog.Show = -1 Then</t>
  </si>
  <si>
    <t>xFolder = xFiDialog.SelectedItems(1)</t>
  </si>
  <si>
    <t>If xFolder = "" Then Exit Sub</t>
  </si>
  <si>
    <t>xPath = xFolder &amp; "\*.xlsx"</t>
  </si>
  <si>
    <t>xFile = Dir(xPath)</t>
  </si>
  <si>
    <t>Do While xFile &lt;&gt; ""</t>
  </si>
  <si>
    <t>xCount = xCount + 1</t>
  </si>
  <si>
    <t>xFile = Dir()</t>
  </si>
  <si>
    <t>MsgBox xCount &amp; " files found"</t>
  </si>
  <si>
    <t>Sub sbCountFiles() 'It will count files in a folder</t>
  </si>
  <si>
    <t xml:space="preserve">    Dim folderPath, filename As String, count As Integer</t>
  </si>
  <si>
    <t xml:space="preserve">    folderPath = "C:\Users\Surendra\Desktop\New Folders\*.csv"</t>
  </si>
  <si>
    <t xml:space="preserve">    filename = Dir(folderPath)</t>
  </si>
  <si>
    <t>Sub sbCheckFileName()</t>
  </si>
  <si>
    <t>'It will check a particular file name and display it's name</t>
  </si>
  <si>
    <t>Dim folderPath, filename As String, count As Integer, name As String</t>
  </si>
  <si>
    <t>folderPath = "C:\Users\Surendra\Desktop\New Folders\"</t>
  </si>
  <si>
    <t>filename = Dir(folderPath)</t>
  </si>
  <si>
    <t xml:space="preserve">    If filename = "Test.csv" Then name = filename</t>
  </si>
  <si>
    <t xml:space="preserve">    MsgBox name &amp; " : files found in folder"</t>
  </si>
  <si>
    <t>Re:=&gt;Counting no of files and its size in a folder</t>
  </si>
  <si>
    <t>Private SubFormLoad()</t>
  </si>
  <si>
    <t xml:space="preserve">  Dim FSO As Scripting.FileSystemObject Runtime</t>
  </si>
  <si>
    <t xml:space="preserve">  Set FSO = New Scripting.FileSystemObject</t>
  </si>
  <si>
    <t xml:space="preserve">  Dim file As Scripting.file</t>
  </si>
  <si>
    <t xml:space="preserve">  Dim Folder As Scripting.Folder</t>
  </si>
  <si>
    <t xml:space="preserve">  Dim Size As Long</t>
  </si>
  <si>
    <t xml:space="preserve">  Dim I as Integer ' &lt; 32k Records &lt;-------------------------</t>
  </si>
  <si>
    <t xml:space="preserve">  Set Folder = FSO.GetFolder(PathName)</t>
  </si>
  <si>
    <t xml:space="preserve">  For Each file In Folder.Files</t>
  </si>
  <si>
    <t xml:space="preserve">    Size = Size + file.Size</t>
  </si>
  <si>
    <t xml:space="preserve">    If i Mod 10 = 0 Then ' &lt;-------- Stop every 10th file</t>
  </si>
  <si>
    <t xml:space="preserve">      MsgBox x - 9 &amp; " - " &amp; x &amp; " = " &amp; size ' Do something with total</t>
  </si>
  <si>
    <t xml:space="preserve">      Size = 0 ' Reset total (if you don't want running totals)</t>
  </si>
  <si>
    <t xml:space="preserve">    i = i + 1</t>
  </si>
  <si>
    <t xml:space="preserve">  Next</t>
  </si>
  <si>
    <t>Re:=&gt; vba count # of files in folder?</t>
  </si>
  <si>
    <t>Dim MyFile,MyFolder As String</t>
  </si>
  <si>
    <t>Dim j As Integer</t>
  </si>
  <si>
    <t>MyFolder = "C:\Users\Surendra\Desktop\Surendra"</t>
  </si>
  <si>
    <t>MyFile = Dir(MyFolder &amp; "\" &amp; "*.xlsm")</t>
  </si>
  <si>
    <t>MyFile = Dir(MyFolder &amp; "\" &amp; "*.xls")</t>
  </si>
  <si>
    <t>MyFile = Dir(MyFolder &amp; "\" &amp; "*.txt")</t>
  </si>
  <si>
    <t>Do While MyFile &lt;&gt; ""</t>
  </si>
  <si>
    <t xml:space="preserve">    j = j + 1</t>
  </si>
  <si>
    <t xml:space="preserve">    MyFile = Dir</t>
  </si>
  <si>
    <t>MsgBox j &amp; " files found"</t>
  </si>
  <si>
    <t>Sub sbSample()</t>
  </si>
  <si>
    <t xml:space="preserve">    Dim FolderPath As String, path, filename As String, count As Integer</t>
  </si>
  <si>
    <t xml:space="preserve">    FolderPath = "C:\Users\Surendra\Desktop\Surendra"</t>
  </si>
  <si>
    <t xml:space="preserve">    path = FolderPath &amp; "\*.xls"</t>
  </si>
  <si>
    <t xml:space="preserve">    'path = FolderPath &amp; "\*.xlsm"</t>
  </si>
  <si>
    <t xml:space="preserve">    'path = FolderPath &amp; "\*.txt"</t>
  </si>
  <si>
    <t xml:space="preserve">    'path = FolderPath &amp; "\*.csv"</t>
  </si>
  <si>
    <t>Sub sbGetFileSize()</t>
  </si>
  <si>
    <t>'It will displays activeworkbook name and its size</t>
  </si>
  <si>
    <t xml:space="preserve">    Dim fs, f, s As String</t>
  </si>
  <si>
    <t xml:space="preserve">    Set fs = CreateObject("Scripting.FileSystemObject")</t>
  </si>
  <si>
    <t xml:space="preserve">    Set f = fs.GetFile(ActiveWorkbook.FullName)</t>
  </si>
  <si>
    <t xml:space="preserve">    MsgBox UCase(f.Name) &amp; " uses " &amp; f.Size &amp; " bytes."</t>
  </si>
  <si>
    <t>Re: VBA Code to list all file size in Specific Folder?</t>
  </si>
  <si>
    <t>Sub ShowFreeSpace() 'vba code to display total size of a directory</t>
  </si>
  <si>
    <t>drvPath = "c:\"</t>
  </si>
  <si>
    <t>Dim fs, d, s</t>
  </si>
  <si>
    <t>Set d = fs.GetDrive(fs.GetDriveName(drvPath))</t>
  </si>
  <si>
    <t>s = "Drive " &amp; UCase(drvPath) &amp; " - "</t>
  </si>
  <si>
    <t>s = s &amp; d.VolumeName &amp; vbCrLf</t>
  </si>
  <si>
    <t>s = s &amp; "Free Space: " &amp; FormatNumber(d.FreeSpace / 1024, 0)</t>
  </si>
  <si>
    <t>s = s &amp; " Kbytes"</t>
  </si>
  <si>
    <t>MsgBox s</t>
  </si>
  <si>
    <t>Sub GetFiles()</t>
  </si>
  <si>
    <t>Dim RowNumber As Long</t>
  </si>
  <si>
    <t>Range("A1").Value = File</t>
  </si>
  <si>
    <t>strFolder = ActiveWorkbook.path</t>
  </si>
  <si>
    <t>Set fso = CreateObject("Scripting.FileSystemObject")</t>
  </si>
  <si>
    <t>Set folder = fso.GetFolder(strFolder)</t>
  </si>
  <si>
    <t>RowNumber = RowNumber + 1</t>
  </si>
  <si>
    <t>Call GetSubFolderSize(strFolder + "\")</t>
  </si>
  <si>
    <t>Sub GetSubFolderSize(strFolder)</t>
  </si>
  <si>
    <t>a = Cells(Rows.Count, 2).End(xlUp).Row + 1</t>
  </si>
  <si>
    <t>If folder.subfolders.Count &gt; 0 Then</t>
  </si>
  <si>
    <t>For Each sf In folder.subfolders</t>
  </si>
  <si>
    <t>On Error GoTo 100</t>
  </si>
  <si>
    <t>Call GetSubFolderSize(strFolder + sf.Name + "\")</t>
  </si>
  <si>
    <t>100 Next sf</t>
  </si>
  <si>
    <t>'folder size in bytes</t>
  </si>
  <si>
    <t>On Error GoTo 200</t>
  </si>
  <si>
    <t>For Each MyFile In folder.Files</t>
  </si>
  <si>
    <t>Range("B" &amp; a + 1).Value = MyFile.path</t>
  </si>
  <si>
    <t>Range("A" &amp; a + 1).Value = MyFile.Size / 1024 ^ 2</t>
  </si>
  <si>
    <t>Range("C" &amp; a + 1).Value = MyFile.Datelastmodified</t>
  </si>
  <si>
    <t>a = a + 1</t>
  </si>
  <si>
    <t>Next MyFile</t>
  </si>
  <si>
    <t>200 On Error GoTo 0</t>
  </si>
  <si>
    <t>Sub sbFolderSize()</t>
  </si>
  <si>
    <t>'It will give the folder size in Bytes</t>
  </si>
  <si>
    <t xml:space="preserve">    Dim fso, fsoFolder As Object</t>
  </si>
  <si>
    <t xml:space="preserve">    Const strFolderName As String = "C:\Users\Surendra\Desktop\Surendra"</t>
  </si>
  <si>
    <t xml:space="preserve">    Set fsoFolder = fso.GetFolder(strFolderName)</t>
  </si>
  <si>
    <t xml:space="preserve">    MsgBox fsoFolder.Size &amp; " bytes"</t>
  </si>
  <si>
    <t xml:space="preserve">    Set fsoFolder = Nothing</t>
  </si>
  <si>
    <t>Public Function FileSize(FileName As String)</t>
  </si>
  <si>
    <t>Dim FSO As Object</t>
  </si>
  <si>
    <t>Set FSO = CreateObject("scripting.filesystemobject")</t>
  </si>
  <si>
    <t>Set file = FSO.Getfile(FileName)</t>
  </si>
  <si>
    <t>FileSize = file.Size</t>
  </si>
  <si>
    <t>Set FSO = Nothing</t>
  </si>
  <si>
    <t>Option Explicit</t>
  </si>
  <si>
    <t>Function WhatsForLunch(WeekDay As String, Hour As Integer) As String</t>
  </si>
  <si>
    <t xml:space="preserve">   ' Returns a lunch menu based on the day and time.</t>
  </si>
  <si>
    <t xml:space="preserve">   If WeekDay = "Friday" Then</t>
  </si>
  <si>
    <t xml:space="preserve">      WhatsForLunch = "Fish"</t>
  </si>
  <si>
    <t xml:space="preserve">      WhatsForLunch = "Chicken"</t>
  </si>
  <si>
    <t xml:space="preserve">   If Hour &gt; 4 Then WhatsForLunch = "Too late"</t>
  </si>
  <si>
    <t>Public Function CalculateArea(Length As Double, Width As Double) As Double</t>
  </si>
  <si>
    <t xml:space="preserve">    Dim Area As Double</t>
  </si>
  <si>
    <t xml:space="preserve">    Area = Length * Width</t>
  </si>
  <si>
    <t xml:space="preserve">    CalculateArea = Area</t>
  </si>
  <si>
    <t>Private Function GetFullName$(ByVal First As String, ByVal Last As String)</t>
  </si>
  <si>
    <t xml:space="preserve">    Dim FName As String</t>
  </si>
  <si>
    <t xml:space="preserve">    FName = First &amp; Last</t>
  </si>
  <si>
    <t xml:space="preserve">    GetFullName$ = FName</t>
  </si>
  <si>
    <t>Public Function CalculatePerimeters(ByVal Length As Double, ByVal Width As Double) As Double</t>
  </si>
  <si>
    <t>Public Function CalculateAreas(ByVal Length As Double, ByVal Width As Double) As Double</t>
  </si>
  <si>
    <t xml:space="preserve">    Dim folderpath, filename, path As String, count As Integer</t>
  </si>
  <si>
    <t>'    FolderPath = "C:\Users\Surendra\Desktop\Surendra\*.xls"</t>
  </si>
  <si>
    <t>'    FolderPath = "C:\Users\Surendra\Desktop\Surendra\*.xlsm"</t>
  </si>
  <si>
    <t>'    FolderPath = "C:\Users\Surendra\Desktop\Surendra\*.txt"</t>
  </si>
  <si>
    <t>'    FolderPath = "C:\Users\Surendra\Desktop\Surendra\*.csv"</t>
  </si>
  <si>
    <t xml:space="preserve">    folderpath = ThisWorkbook.path &amp; "\*.xls"</t>
  </si>
  <si>
    <t xml:space="preserve">    folderpath = ThisWorkbook.path &amp; "\*.xlsm"</t>
  </si>
  <si>
    <t xml:space="preserve">    folderpath = ThisWorkbook.path &amp; "\*.txt"</t>
  </si>
  <si>
    <t xml:space="preserve">    folderpath = ThisWorkbook.path &amp; "\*.csv"</t>
  </si>
  <si>
    <t xml:space="preserve">    filename = Dir(folderpath)</t>
  </si>
  <si>
    <t xml:space="preserve">    ThisWorkbook.Sheets("Test").Range("Q8").Value = count</t>
  </si>
  <si>
    <t>folderpath = ThisWorkbook.path &amp; "\*.xlsm"</t>
  </si>
  <si>
    <t xml:space="preserve">       If filename = "STAR.xlsm" Then fname = filename</t>
  </si>
  <si>
    <t xml:space="preserve">       'If filename = "TT.doc" Then fname = filename</t>
  </si>
  <si>
    <t>Sub sbFileNames() 'It will display each filenames in a folder</t>
  </si>
  <si>
    <t>Dim filename, folderpath As String</t>
  </si>
  <si>
    <t>'ThisWorkbook.Sheets("Test").Range("Q8").Value = filename</t>
  </si>
  <si>
    <t>&gt;SELECT usernameFROM (SELECT ROWNUM num, usernameFROM dba_users) WHERE MOD (num, 2) = 0;</t>
  </si>
  <si>
    <t>&gt;SELECT usernameFROM (SELECT ROWNUM num, usernameFROM dba_users)WHERE MOD (num, 2) = 1;</t>
  </si>
  <si>
    <t>&gt;SELECT * FROM tablename WHERE MOD (rowindex, 2) = 0; FOR EVEN ROWS</t>
  </si>
  <si>
    <t>&gt;SELECT * FROM tablename WHERE MOD (rowindex, 2) = 1; FOR ODD ROWS</t>
  </si>
  <si>
    <t>&gt;SELECT * FROM TABLENAME WHERE MOD(column_choosen_with_integer_values,2) = 0; FOR even</t>
  </si>
  <si>
    <t>&gt;SELECT * FROM TABLENAME WHERE MOD(column_choosen_with_integer_values,2) != 0; FOR odd</t>
  </si>
  <si>
    <t>&gt;SELECT * FROM emp WHERE mod(rowid,2)=0;Even Records</t>
  </si>
  <si>
    <t>&gt;SELECT * FROM emp WHERE mod(rowid,2)=1; Odd Records</t>
  </si>
  <si>
    <t>&gt;SELECT * FROM emp WHERE mod(rowid,2)&lt;&gt;0; Odd Records</t>
  </si>
  <si>
    <t>&gt;select * from emp where(columnname,0) in (select columnname,mod(rownum,2) from emp); for even</t>
  </si>
  <si>
    <t>&gt;select * from emp where(columnname,1) in (select columnname,mod(rownum,2) from emp); for odd</t>
  </si>
  <si>
    <t xml:space="preserve">&gt;SELECT R1,employee_id,last_name FROM (SELECT employee_id,last_name,ROWNUM AS r1 FROM employees) WHERE MOD(R1,2)=0; </t>
  </si>
  <si>
    <t>For Even: select * from student where(columnname,0) in (select columnname,mod(rownum,2) from student)</t>
  </si>
  <si>
    <t>For Odd: select * from student where(columnname,1) in (select columnname,mod(rownum,2) from student)</t>
  </si>
  <si>
    <t xml:space="preserve">If i = 5 Then Range("A" &amp; i).Value = "B" &amp; i - 3   </t>
  </si>
  <si>
    <t xml:space="preserve">If i = 6 Then Range("A" &amp; i).Value = "B" &amp; i - 3   </t>
  </si>
  <si>
    <t xml:space="preserve">If i = 8 Then Range("A" &amp; i).Value = "C" &amp; i - 6   </t>
  </si>
  <si>
    <t xml:space="preserve">If i = 9 Then Range("A" &amp; i).Value = "C" &amp; i - 6   </t>
  </si>
  <si>
    <t xml:space="preserve">  Next i</t>
  </si>
  <si>
    <t>Sub sbStates()</t>
  </si>
  <si>
    <t>Sheet17.Cells(1, 1).Value = "Number"</t>
  </si>
  <si>
    <t>Sheet17.Cells(1, 3).Value = "Status"</t>
  </si>
  <si>
    <t>Sheet17.Cells(i + 1, 1).Value = i</t>
  </si>
  <si>
    <t>If Range("A" &amp; i + 1).Value Mod 2 = 0 Then Range("A" &amp; i + 1).Offset(, 2).Value = "Even"</t>
  </si>
  <si>
    <t>If Range("A" &amp; i + 1).Value Mod 2 = 1 Then Range("A" &amp; i + 1).Offset(, 2).Value = "Odd"</t>
  </si>
  <si>
    <t>If Range("C" &amp; i + 1).Value = "Odd" Then Range("C" &amp; i + 1).Font.Color = vbYellow</t>
  </si>
  <si>
    <t>If Range("C" &amp; i + 1).Value = "Even" Then Range("C" &amp; i + 1).Font.Color = vbRed</t>
  </si>
  <si>
    <t>Sub sbTxt()</t>
  </si>
  <si>
    <t>Sheet14.Range("N1").Value = "VBA Text"</t>
  </si>
  <si>
    <t>Sub sbProtectSheet()</t>
  </si>
  <si>
    <t>Dim pwd As String, ws As Variant</t>
  </si>
  <si>
    <t>pwd = InputBox("Enter your password here")</t>
  </si>
  <si>
    <t>'For Each ws In ThisWorkbook.Sheets("Test")</t>
  </si>
  <si>
    <t>ws.Protect Password:="suri"</t>
  </si>
  <si>
    <t>MsgBox "All sheets are protected now"</t>
  </si>
  <si>
    <t>Sub sbUnProtectSheet()</t>
  </si>
  <si>
    <t>ws.Unprotect Password:="suri"</t>
  </si>
  <si>
    <t>MsgBox "All sheets are unprotected now"</t>
  </si>
  <si>
    <t>Sub sbProtectASheet()</t>
  </si>
  <si>
    <t>ThisWorkbook.Sheets("STAR").Protect Password:="Suri"</t>
  </si>
  <si>
    <t>ThisWorkbook.Sheets("STAR").Unprotect Password:="Suri"</t>
  </si>
  <si>
    <t>Sub sbNumeric()</t>
  </si>
  <si>
    <t>'It will give the numeric value from given string</t>
  </si>
  <si>
    <t>Dim x As Integer, nNum, nstr As String</t>
  </si>
  <si>
    <t>nstr = "1235Surendra8"</t>
  </si>
  <si>
    <t>If IsNumeric(Mid(nstr, x, 1)) = True Then nNum = nNum &amp; Mid(nstr, x, 1)</t>
  </si>
  <si>
    <t>'End If</t>
  </si>
  <si>
    <t>Sub sbTextOnly()</t>
  </si>
  <si>
    <t>'It give non-numeric(Text part only)</t>
  </si>
  <si>
    <t>Sub sbProtectSheets()</t>
  </si>
  <si>
    <t>'It will Protect and Unprotect a particular sheet alternatively</t>
  </si>
  <si>
    <t>ThisWorkbook.Sheets("Test").Protect Password:="Suri"</t>
  </si>
  <si>
    <t>ThisWorkbook.Sheets("Test").Unprotect Password:="Suri"</t>
  </si>
  <si>
    <t>Sub sbFolder_Exist() 'It will check a particular folder exist or not</t>
  </si>
  <si>
    <t>Dim folderpath As String</t>
  </si>
  <si>
    <t>folderpath = "C:/Users/Surendra/Desktop/Surendra"</t>
  </si>
  <si>
    <t>'folderpath = "C:/Users/Surendra/Desktop/Surender"</t>
  </si>
  <si>
    <t>If Dir(folderpath, vbDirectory) &lt;&gt; vbNullString Then</t>
  </si>
  <si>
    <t xml:space="preserve">        MsgBox "Folder exist", vbInformation</t>
  </si>
  <si>
    <t xml:space="preserve">    Else</t>
  </si>
  <si>
    <t xml:space="preserve">        MsgBox "Folder doesn't exist", vbInformation</t>
  </si>
  <si>
    <t>Sub sbFolder_Exists() 'It will check a particular folder exist or not</t>
  </si>
  <si>
    <t>'folderpath = "C:/Users/Surendra/Desktop/Surendra"</t>
  </si>
  <si>
    <t>folderpath = "C:/Users/Surendra/Desktop/Surender"</t>
  </si>
  <si>
    <t>If Dir(folderpath, vbDirectory) = vbNullString Then</t>
  </si>
  <si>
    <t xml:space="preserve">        MsgBox "Folder  exist", vbInformation</t>
  </si>
  <si>
    <t>Sub sbDirectory() 'It will check that a particular folder exist or not then it will create it</t>
  </si>
  <si>
    <t>If Len(Dir("C:\Users\Surendra\Desktop\Examples", vbDirectory)) = 0 Then</t>
  </si>
  <si>
    <t xml:space="preserve">   MkDir "C:\Users\Surendra\Desktop\Examples"</t>
  </si>
  <si>
    <t>Sub sbFolderExist() 'It will check a particular folder exist or not otherwise it will create it</t>
  </si>
  <si>
    <t>Dim rspCreate As String</t>
  </si>
  <si>
    <t>If Dir("C:/Users/Surendra/Desktop/MyDirectory/", vbDirectory) = vbNullString Then</t>
  </si>
  <si>
    <t xml:space="preserve">    rspCreate = MsgBox("Directory doesn't exist, do you wish to create it?", vbYesNo)</t>
  </si>
  <si>
    <t xml:space="preserve">    If rspCreate = vbYes Then</t>
  </si>
  <si>
    <t xml:space="preserve">        MkDir "C:/Users/Surendra/Desktop/MyDirectory/"</t>
  </si>
  <si>
    <t>Dim file, filename, path, folderpath As String, count As Integer</t>
  </si>
  <si>
    <t>'folderpath = "C:\Users\Surendra\Desktop\New Folder"</t>
  </si>
  <si>
    <t>folderpath = "C:\Users\Surendra\Desktop\Surendra"</t>
  </si>
  <si>
    <t>path = folderpath &amp; "\*.xlsm" 'It will count for a particular type of file extention</t>
  </si>
  <si>
    <t>filename = Dir(path)</t>
  </si>
  <si>
    <t>Do While filename &lt;&gt; vbNullString</t>
  </si>
  <si>
    <t>count = count + 1</t>
  </si>
  <si>
    <t>filename = Dir()</t>
  </si>
  <si>
    <t>MsgBox "No of files in this folder are :" &amp; count</t>
  </si>
  <si>
    <t>Sub sbFileExist() 'It will check a particular file exist or not</t>
  </si>
  <si>
    <t>'If Len(Dir("C:\Users\Surendra\Desktop\Examples\Instructions.doc")) = 0 Then</t>
  </si>
  <si>
    <t>If Len(Dir("C:\Users\Surendra\Desktop\Surendra\RBS-Forms.xlsm")) = 0 Then</t>
  </si>
  <si>
    <t>MsgBox "This file does NOT exist."</t>
  </si>
  <si>
    <t xml:space="preserve">   MsgBox "This file does exist."</t>
  </si>
  <si>
    <t>Sub sbMakeFolder() 'It will check a folder exist or not then create it</t>
  </si>
  <si>
    <t xml:space="preserve">    Dim fdObj As Object</t>
  </si>
  <si>
    <t xml:space="preserve">    Set fdObj = CreateObject("Scripting.FileSystemObject")</t>
  </si>
  <si>
    <t xml:space="preserve">    If fdObj.FolderExists("C:\Users\Surendra\Desktop\Testfolder") Then</t>
  </si>
  <si>
    <t xml:space="preserve">        MsgBox "Found it.", vbInformation</t>
  </si>
  <si>
    <t xml:space="preserve">        fdObj.CreateFolder ("C:\Users\Surendra\Desktop\Testfolder")</t>
  </si>
  <si>
    <t xml:space="preserve">        MsgBox "It has been created.", vbInformation</t>
  </si>
  <si>
    <t>Sub sbLR_LC()</t>
  </si>
  <si>
    <t xml:space="preserve">        LR = Cells.Find("*", , , , xlByRows, xlPrevious).row</t>
  </si>
  <si>
    <t xml:space="preserve">        LR = ActiveSheet.Cells.SpecialCells(xlCellTypeLastCell).row</t>
  </si>
  <si>
    <t xml:space="preserve">        LR = ActiveSheet.UsedRange.Rows.Count</t>
  </si>
  <si>
    <t xml:space="preserve">        LR = ActiveSheet.Cells(1048576, 1).End(xlUp).row</t>
  </si>
  <si>
    <t xml:space="preserve">        LR = ActiveSheet.Range("A" &amp; Rows.Count).End(xlUp).row</t>
  </si>
  <si>
    <t xml:space="preserve">        LR = Cells(Rows.Count, 1).End(xlUp).row</t>
  </si>
  <si>
    <t xml:space="preserve">        LC = Cells.Find("*", , , , xlByColumns, xlPrevious).column</t>
  </si>
  <si>
    <t xml:space="preserve">        LC = ActiveSheet.Cells.SpecialCells(xlCellTypeLastCell).column</t>
  </si>
  <si>
    <t xml:space="preserve">        LC = ActiveSheet.UsedRange.columns.Count</t>
  </si>
  <si>
    <t xml:space="preserve">        LC = ActiveSheet.Cells(1, 16384).End(xlToLeft).column</t>
  </si>
  <si>
    <t xml:space="preserve">        MsgBox "Last Rows is :" &amp; LR &amp; vbCrLf &amp; "Last Column is :" &amp; LC</t>
  </si>
  <si>
    <t>Sub sbSearch() 'It Will search a particular string and if it is found then display it and exit it from loop</t>
  </si>
  <si>
    <t>If Range("A" &amp; i).Value = "Yadav" Then MsgBox Range("A" &amp; i).Value: Exit Sub</t>
  </si>
  <si>
    <t>'If Range("A" &amp; i).Value = "Yadav" Then Exit Sub</t>
  </si>
  <si>
    <t>Sub sbSearchs() 'It Will search a particular string and if it is found then display it and exit it from loop</t>
  </si>
  <si>
    <t>For Each c In Range("A2:A" &amp; Cells(Rows.Count, "A").End(xlUp).row)</t>
  </si>
  <si>
    <t>Sub sbWebScrapping()</t>
  </si>
  <si>
    <t xml:space="preserve">     .Navigate("http://www.google.com")</t>
  </si>
  <si>
    <t xml:space="preserve">                                                                                                                                                                                                                                                                 </t>
  </si>
  <si>
    <t>﻿RE:Data Analyst</t>
  </si>
  <si>
    <t>MattsenKumar Services Pvt. Ltd</t>
  </si>
  <si>
    <t>3 - 7 yrs  Delhi NCR</t>
  </si>
  <si>
    <t>Recruiter Name:Salomi</t>
  </si>
  <si>
    <t>Contact Company:MattsenKumar Services Pvt Ltd</t>
  </si>
  <si>
    <t>Address:34, Sector 19Udyog Vihar, Phase IV, GurgaonGURGAON,Haryana,India 122002</t>
  </si>
  <si>
    <t>Website:https://www.mattsenkumar.com/about-us/company-profile.html</t>
  </si>
  <si>
    <t>Telephone:9899154532</t>
  </si>
  <si>
    <t>Re:Urgent Opening - MIS Coordinator- Gurugram</t>
  </si>
  <si>
    <t>2 - 7 YearsDelhi NCR, Delhi, Gurgaon(10 Openings)</t>
  </si>
  <si>
    <t>meena.dahiya@frankfinn.com</t>
  </si>
  <si>
    <t>Salary: INR 2,00,000 - 5,00,000 P.A.</t>
  </si>
  <si>
    <t>RE:Opening with a Top Real Estate Company Senior MIS Executive</t>
  </si>
  <si>
    <t>Tdi Infracorp</t>
  </si>
  <si>
    <t>2 - 5 yrs  Delhi NCR</t>
  </si>
  <si>
    <t>Recruiter Name:Mr Chandan Singh</t>
  </si>
  <si>
    <t>Address:TDI Infrastructure LtdVandana Building,Upper Ground Floor11,Tolstoy Marg,Delhi,India</t>
  </si>
  <si>
    <t>110001</t>
  </si>
  <si>
    <t>Email Address:hr@tdiinfracorp.com</t>
  </si>
  <si>
    <t>Vertex:1st-June-2015</t>
  </si>
  <si>
    <t>Private &amp; Confidancial:</t>
  </si>
  <si>
    <t>26th-August 2015</t>
  </si>
  <si>
    <t>original infraventures pvt. ltd delhi</t>
  </si>
  <si>
    <t>Contact Person:Samit</t>
  </si>
  <si>
    <t>Re:Team Leader</t>
  </si>
  <si>
    <t>Original Infraventures Pvt. Ltd.</t>
  </si>
  <si>
    <t>1 - 3 yrs  Delhi NCR</t>
  </si>
  <si>
    <t>Time and Venue</t>
  </si>
  <si>
    <t>8th April-16th April , 11 AM onwards</t>
  </si>
  <si>
    <t>Original Atelier F 14, First Floor, Malhan falcon Plaza Building, Sector 12, Near Nanital Ban</t>
  </si>
  <si>
    <t>k, Dwa</t>
  </si>
  <si>
    <t>Salary:INR 2,75,000 - 4,75,000 P.A. Cool Office Environments, India and Abroad Trips, Incenti</t>
  </si>
  <si>
    <t>ves, m</t>
  </si>
  <si>
    <t>Recruiter Name:Samit</t>
  </si>
  <si>
    <t>Contact Company:Original Infraventures Pvt Ltd</t>
  </si>
  <si>
    <t>Website:http://www.originalatelier.com/</t>
  </si>
  <si>
    <t>Telephone:9810805047</t>
  </si>
  <si>
    <t>Walkin Interview</t>
  </si>
  <si>
    <t>8th April - 16th April  11 AM</t>
  </si>
  <si>
    <t>RE:MIS Executive</t>
  </si>
  <si>
    <t>MIS Analyst- Macros,vba Coding - 6 Month (offroll) - MNC - Gurgaon</t>
  </si>
  <si>
    <t>RANDSTAD INDIA PVT LTD hiring for an MNC</t>
  </si>
  <si>
    <t>2 - 7 yrs  Gurgaon</t>
  </si>
  <si>
    <t>Salary: Upto 38000 CTC</t>
  </si>
  <si>
    <t>Interested applicants can share the CVS at sangeeta.singh@randstad.in OR can reach me at 9873</t>
  </si>
  <si>
    <t>418337</t>
  </si>
  <si>
    <t>RE:Urgent Opening for MIS Profile</t>
  </si>
  <si>
    <t>Religare Health Insurance Company Limited</t>
  </si>
  <si>
    <t>2 - 7 yrs  Noida, Gurgaon</t>
  </si>
  <si>
    <t>Sal:1-3.5 LPA</t>
  </si>
  <si>
    <t>Recruiter Name:Sakshi Nigam</t>
  </si>
  <si>
    <t>Email Address:careers@religarehealthinsurance.com</t>
  </si>
  <si>
    <t>RE:Walkin Drive for MIS Profile</t>
  </si>
  <si>
    <t>2-7 yrs  Gurgaon, Noida</t>
  </si>
  <si>
    <t>11th April , 11 AM onwards</t>
  </si>
  <si>
    <t>Religare Health Insurance Company Limited, A-6,Block A,Sector-16,Noida,U.P.-201301.Nearest Me</t>
  </si>
  <si>
    <t>tro St</t>
  </si>
  <si>
    <t>Contact Person- Manoj Kumar:Recruiter Name:Sakshi Nigam</t>
  </si>
  <si>
    <t>Re:Walkin Interview for MIS</t>
  </si>
  <si>
    <t>11th April  11 AM</t>
  </si>
  <si>
    <t>Walk In interview on 11 Apr -13 Apr</t>
  </si>
  <si>
    <t>Contact Vishal @ 8800594602 to schedule Interview</t>
  </si>
  <si>
    <t>TIME : 11AM - 3 PM</t>
  </si>
  <si>
    <t>Address :- 416, Udyog Vihar, Phase- 4, Gurgaon, Haryana-122015</t>
  </si>
  <si>
    <t>Contact Details:</t>
  </si>
  <si>
    <t>RE:MIS Analyst</t>
  </si>
  <si>
    <t>Recruiter Name:Monall Ray</t>
  </si>
  <si>
    <t>Contact Company:UFlex Ltd.</t>
  </si>
  <si>
    <t>Telephone:91-120-4012462</t>
  </si>
  <si>
    <t>Address :A-108, Sector-4</t>
  </si>
  <si>
    <t>Salary:INR 1,50,000 - 4,00,000 P.A.</t>
  </si>
  <si>
    <t>EXL Service,</t>
  </si>
  <si>
    <t>Center For Talent</t>
  </si>
  <si>
    <t>A - 18 Sector 59 Noida</t>
  </si>
  <si>
    <t>Contact Person : Pallavi Saxena</t>
  </si>
  <si>
    <t>Recruiter Name:Surabhi</t>
  </si>
  <si>
    <t>Contact Company:Vibrant Solutions</t>
  </si>
  <si>
    <t>Website:http://vibrant-solutions.com</t>
  </si>
  <si>
    <t>Telephone:8375827276</t>
  </si>
  <si>
    <t>Salary:INR 1,50,000 - 3,25,000 P.A.</t>
  </si>
  <si>
    <t>Designation: MIS Executive</t>
  </si>
  <si>
    <t>Salary: Upto 25K</t>
  </si>
  <si>
    <t>Location: West Delhi</t>
  </si>
  <si>
    <t>6 days working / Sun Fixed Off</t>
  </si>
  <si>
    <t>9818888013-Girish-MIS</t>
  </si>
  <si>
    <t>NSBP-Noida=&gt;Excel/vba/Macro</t>
  </si>
  <si>
    <t>oyeegirish@gmail.com</t>
  </si>
  <si>
    <t>ramaria@rbs.co.uk</t>
  </si>
  <si>
    <t>9953506210-Consultant</t>
  </si>
  <si>
    <t>9936565150-Kavita</t>
  </si>
  <si>
    <t>8858782475-Vimal</t>
  </si>
  <si>
    <t>Mona- 9811337267 for MIS Executive</t>
  </si>
  <si>
    <t>MIS Executive Dayshift at G***le Adwords with Package upto 3.70 Lakhs</t>
  </si>
  <si>
    <t>Futuresoft hiring for Concantrix, TLC, Quatrro, Aegis, Zomato, Microsoft, Arvato N more</t>
  </si>
  <si>
    <t>Package:3-4 LPA</t>
  </si>
  <si>
    <t>Recruiter Name:Mona Tomorrow</t>
  </si>
  <si>
    <t>Contact Company:Futuresoft</t>
  </si>
  <si>
    <t>Email Address:hr@futuresoftjobs.com</t>
  </si>
  <si>
    <t>Website:http://futuresoftjobs.com</t>
  </si>
  <si>
    <t>Telephone:9811337267</t>
  </si>
  <si>
    <t>Re:Urgent Opening for team Leader*day Shift*salary up to 4 lacs</t>
  </si>
  <si>
    <t>Signature Staff Private Limited hiring for One of our reputed client</t>
  </si>
  <si>
    <t>1 - 6 yrs  Delhi NCR</t>
  </si>
  <si>
    <t>7011416783/ or email your resume at poonam@signaturestaffindia.com</t>
  </si>
  <si>
    <t>Dear sir/madam,</t>
  </si>
  <si>
    <t>Please find attached file of my updated CV and i am looking for job change as per your respon</t>
  </si>
  <si>
    <t>se.Loo</t>
  </si>
  <si>
    <t>Best Regards</t>
  </si>
  <si>
    <t>Surendra Kumar</t>
  </si>
  <si>
    <t>+91-8130428458</t>
  </si>
  <si>
    <t>dineshkumarv93@gmail.com</t>
  </si>
  <si>
    <t>Re:MIS Executive</t>
  </si>
  <si>
    <t>Blue Panther Placement Services</t>
  </si>
  <si>
    <t>8571846540/ 7404562453(Shefali Sharma)-Consultant</t>
  </si>
  <si>
    <t>Salary:25 K</t>
  </si>
  <si>
    <t>For Kundali</t>
  </si>
  <si>
    <t>RE:Urgent Opening for MIS Executive</t>
  </si>
  <si>
    <t>Impetus Career Consultants Private Limited</t>
  </si>
  <si>
    <t>Expn: 1 - 4 yrs  Gurgaon</t>
  </si>
  <si>
    <t>Steno House</t>
  </si>
  <si>
    <t xml:space="preserve"> 0 - 1 yrs  Gurgaon</t>
  </si>
  <si>
    <t>Recruiter Name:Indu</t>
  </si>
  <si>
    <t>Email Address:ea@stenohouse.com</t>
  </si>
  <si>
    <t>Telephone:9871205333</t>
  </si>
  <si>
    <t>pretentious-attempting to impress by affecting greater importance or merit than is actually p</t>
  </si>
  <si>
    <t>ossess</t>
  </si>
  <si>
    <t>meena.dahiya@frankfinn.com or can call us 7982039644</t>
  </si>
  <si>
    <t>manojyadavkumar69@gmail.com</t>
  </si>
  <si>
    <t>dineshkumar93@gmail.com</t>
  </si>
  <si>
    <t>Urgent Hiring For MIS Executive Noida 63 Location</t>
  </si>
  <si>
    <t>Adroit Synergies Private Limited</t>
  </si>
  <si>
    <t xml:space="preserve"> 2 - 5 yrs  Noida(Sector-63 Noida)</t>
  </si>
  <si>
    <t>Recruiter Name:Sunita Yadav/Neetu Chaudhary</t>
  </si>
  <si>
    <t>Contact Company:Adroit Synergies Private Limited</t>
  </si>
  <si>
    <t>Telephone:9818315967</t>
  </si>
  <si>
    <t>RE:MIS Executive-2nd April-18</t>
  </si>
  <si>
    <t>Recruiter Name:Sangeeta Singh</t>
  </si>
  <si>
    <t>Email Address:sangeeta.singh@randstad.in</t>
  </si>
  <si>
    <t>Telephone:9873418337</t>
  </si>
  <si>
    <t>CTC:3.8 LPA</t>
  </si>
  <si>
    <t>Sub VlookupFormula()</t>
  </si>
  <si>
    <t>Dim ws1,ws2 As Worksheet,LR as long,rng as range</t>
  </si>
  <si>
    <t>Set ws1 = Sheets("Sheet1")</t>
  </si>
  <si>
    <t>Set ws2 = Sheets("Sheet2")</t>
  </si>
  <si>
    <t>LR = ws1.Cells(Rows.Count, "K").End(xlUp).Row</t>
  </si>
  <si>
    <t>Set rng = ws2.Range("A1:B65")</t>
  </si>
  <si>
    <t>This line will place the formula on Sheet1 in the range "H3:H" &amp; LR where LR is the last row</t>
  </si>
  <si>
    <t xml:space="preserve"> with</t>
  </si>
  <si>
    <t>ws1.Range("H3:H" &amp; LR).Formula = "=IFERROR(VLOOKUP(K3," &amp; ws2.Name &amp; "!" &amp; rng.Address &amp; ",2,</t>
  </si>
  <si>
    <t>0),"""</t>
  </si>
  <si>
    <t>This line will convert the formulas into values, so you won't see any formula on Sheet1 in c</t>
  </si>
  <si>
    <t>ol. H.</t>
  </si>
  <si>
    <t>ws1.Range("H3:H" &amp; LR).Value = ws1.Range("H3:H" &amp; LR).Value</t>
  </si>
  <si>
    <t>Recruiter Name:Ananya Sharma</t>
  </si>
  <si>
    <t>Contact Company:GMG Engineers and Contractors Pvt Ltd</t>
  </si>
  <si>
    <t>Email Address:managerhr@srfoils.com</t>
  </si>
  <si>
    <t>Recruiter Name:santosh kumar</t>
  </si>
  <si>
    <t>Contact Company:Maruti Placement Service</t>
  </si>
  <si>
    <t>Email Address:jobsmarutiplacement@gmail.com</t>
  </si>
  <si>
    <t>Telephone:0129-4317509,8810337543,9873286508</t>
  </si>
  <si>
    <t>Recruiter Name:Preeti</t>
  </si>
  <si>
    <t>Contact Company:Bal Raksha Bharat</t>
  </si>
  <si>
    <t>Website:https://www.savethechildren.in/</t>
  </si>
  <si>
    <t>Telephone:7065273760</t>
  </si>
  <si>
    <t>E-mailid:gurgaon.hr@savethechildren.in</t>
  </si>
  <si>
    <t>RE:VBA Macros Developer(Info-X Software Technology Pvt. Ltd.)-Appeared</t>
  </si>
  <si>
    <t>2 - 4 yrs  Gurgaon(Udyog Vihar)</t>
  </si>
  <si>
    <t>Pramod: py@infoxwebware.net</t>
  </si>
  <si>
    <t>8368318967</t>
  </si>
  <si>
    <t>335 UV-PG-2,</t>
  </si>
  <si>
    <t>RE:MIS Executive-India Mart Noida</t>
  </si>
  <si>
    <t>Job Location- A-23, Sector-2,Noida</t>
  </si>
  <si>
    <t>Interested Candidate may call at 9873010519</t>
  </si>
  <si>
    <t>RE:MIS Executive -Gurgaon</t>
  </si>
  <si>
    <t>Recruiter Name:Sakshi Grover</t>
  </si>
  <si>
    <t>Contact Company:Pearson India Education Services Private Limited</t>
  </si>
  <si>
    <t>Email Address:sakshi.grover@pearson.com</t>
  </si>
  <si>
    <t>Website:https://www.pearson.com/</t>
  </si>
  <si>
    <t>Telephone:9953058106</t>
  </si>
  <si>
    <t>Re:Sr.Executive MIS</t>
  </si>
  <si>
    <t>HR:Amrita Singh -Bharti Infratel Ltd.</t>
  </si>
  <si>
    <t>The basic concept is: =IFERROR(vlookup(..1st..), IFERROR(vlookup(..2nd..), IFERROR(vlookup(..</t>
  </si>
  <si>
    <t>3rd..)</t>
  </si>
  <si>
    <t>atul72600@gmail.com-Samsung</t>
  </si>
  <si>
    <t>raghbendra.singh@indiamart.com</t>
  </si>
  <si>
    <t>Comments put in a cell is called=&gt;Cell Tip</t>
  </si>
  <si>
    <t>52,42,62,27:=&gt;(5+2)*7 ans:42 and 24 and -18</t>
  </si>
  <si>
    <t>INSIGHT=literally means seeing inward.</t>
  </si>
  <si>
    <t xml:space="preserve"> the power or act of seeing into a situation : penetration. 2 : the act or result of apprehen</t>
  </si>
  <si>
    <t>ding t</t>
  </si>
  <si>
    <t>Definition of insight - the capacity to gain an accurate and deep understanding of someone or</t>
  </si>
  <si>
    <t xml:space="preserve"> somet</t>
  </si>
  <si>
    <t>Re:What is RTA handling, forecasting , scheduling,sheet planning and sheet capacity etc?</t>
  </si>
  <si>
    <t>RE:Reporting &amp; Data Analysis (advance Excel) Position with an MNC</t>
  </si>
  <si>
    <t>Intellect Career Solutions hiring for An MNC in Gurgaon! 1 - 3 yrs  Gurgaon</t>
  </si>
  <si>
    <t>Salary:INR 5,00,000 - 6,50,000 P.A.</t>
  </si>
  <si>
    <t>Kiran Virmani</t>
  </si>
  <si>
    <t>Intellect Career Solutions</t>
  </si>
  <si>
    <t>E-mail: kiran@intellectsearch.in</t>
  </si>
  <si>
    <t>RE:MIS Project Coordinator</t>
  </si>
  <si>
    <t>Recruiter Name:Roopa Kotian</t>
  </si>
  <si>
    <t>Email Address:roopa_kotian@kellyservices.co.in</t>
  </si>
  <si>
    <t>Telephone:9422572344</t>
  </si>
  <si>
    <t>RE:Senior Analyst - Consultative Research</t>
  </si>
  <si>
    <t>Knowledge Excel Services LLP</t>
  </si>
  <si>
    <t xml:space="preserve"> 2 - 5 yrs  Delhi</t>
  </si>
  <si>
    <t>Recruiter Name:Saurabh</t>
  </si>
  <si>
    <t>Contact Company:Knowledge Excel Services LLP</t>
  </si>
  <si>
    <t>Website:http://knowledgeexcel.com</t>
  </si>
  <si>
    <t>Telephone:01143536465</t>
  </si>
  <si>
    <t>RE:VBA Analyst - Telecom</t>
  </si>
  <si>
    <t>Skilldose Training And Recruitment Services hiring for AIRTEL</t>
  </si>
  <si>
    <t>3 - 5 yrs  Gurgaon</t>
  </si>
  <si>
    <t>Recruiter Name:Komel Chadha</t>
  </si>
  <si>
    <t>Contact Company:Skilldose Training And Recruitment Services</t>
  </si>
  <si>
    <t>Telephone:9811941192</t>
  </si>
  <si>
    <t>Team Leader Travel - Okhla Location</t>
  </si>
  <si>
    <t>Imaginators Try Going Beyond</t>
  </si>
  <si>
    <t xml:space="preserve"> 2 - 7 yrs  Gurgaon, Delhi NCR, Noida</t>
  </si>
  <si>
    <t>Package upto 6Lacs</t>
  </si>
  <si>
    <t>Call 8802832831 - Vikas</t>
  </si>
  <si>
    <t>Subject Line: Sr. Executive /Asst.Mngr-Costing ,Budgeting, Audit, MIS - Gurgaon - (Job Id:304</t>
  </si>
  <si>
    <t>0) to</t>
  </si>
  <si>
    <t>Re:Walk ins In For SAS Analytics_27th March</t>
  </si>
  <si>
    <t>WNS GLOBAL SERVICES PRIVATE LIMITED</t>
  </si>
  <si>
    <t>Inte rview Details:</t>
  </si>
  <si>
    <t>Address:</t>
  </si>
  <si>
    <t>WNS Global Services (P) Ltd 11th floor of Block A2 &amp;amp;amp;amp;amp;amp;amp;amp;amp; A3, DLF</t>
  </si>
  <si>
    <t>World</t>
  </si>
  <si>
    <t>WNS Global Services (P) Ltd</t>
  </si>
  <si>
    <t>11th floor of Block A2 &amp; A3, DLF World Tech park DLF IT SEZ, SECTOR 30, NH8, SILOKHERA, Gurga</t>
  </si>
  <si>
    <t>on,Har</t>
  </si>
  <si>
    <t>Interview Date : 27thMarch,18</t>
  </si>
  <si>
    <t>Timings : 10:00 AM-04:00 pm</t>
  </si>
  <si>
    <t>Contact Person: Ritika Gopi/Dushali Butta</t>
  </si>
  <si>
    <t>Note: WNS has 2 years of service agreement. The candidates applying for the job should be com</t>
  </si>
  <si>
    <t>fortab</t>
  </si>
  <si>
    <t>Walkin Drive - Reporting Analyst - Night Shifts</t>
  </si>
  <si>
    <t>TrueBlue India LLP</t>
  </si>
  <si>
    <t>Walkin Drive:</t>
  </si>
  <si>
    <t>Date: 26-Mar-18, Monday &amp; 27-Mar-18, Tuesday</t>
  </si>
  <si>
    <t>Timings: 11:00 AM to 4:00 PM</t>
  </si>
  <si>
    <t>Contact Person: Shubra Dawar</t>
  </si>
  <si>
    <t>Contact No.: 0124-6473023</t>
  </si>
  <si>
    <t>Email ID: sdawar@peoplescout.com</t>
  </si>
  <si>
    <t>Address: Peoplescout, 11th Floor, Tower 1, Candor Infospace, Sector 48, Gurgaon, Near Subhash</t>
  </si>
  <si>
    <t xml:space="preserve"> Chowk</t>
  </si>
  <si>
    <t>Recruiter Name:Shubra Dawar</t>
  </si>
  <si>
    <t>Contact Company:TrueBlue India LLP</t>
  </si>
  <si>
    <t>Email Address:sdawar@peoplescout.com</t>
  </si>
  <si>
    <t>Telephone:0124-6473023</t>
  </si>
  <si>
    <t>RE:Data Analyst</t>
  </si>
  <si>
    <t>Recruiter Name:Pooja Jain</t>
  </si>
  <si>
    <t>Email Address:pooja@clearwayadvisors.com</t>
  </si>
  <si>
    <t>Telephone:8447487195</t>
  </si>
  <si>
    <t>Reference Id:Data Analyst - Pooja</t>
  </si>
  <si>
    <t>RE:MIS Analytics (VBA Automation+Advanced Excel)</t>
  </si>
  <si>
    <t>Impetus Career Consultants Private Limited &lt;impetus.charu@gmail.com&gt;</t>
  </si>
  <si>
    <t>MIS Analytics (AM)</t>
  </si>
  <si>
    <t>Location: Gurgaon (Sec 39)</t>
  </si>
  <si>
    <t>Shift: 1pm  10 pm</t>
  </si>
  <si>
    <t>Working days: 5 days working</t>
  </si>
  <si>
    <t>Experience: 4+ yrs</t>
  </si>
  <si>
    <t>Key skill:</t>
  </si>
  <si>
    <t>1. Reporting (Weekly, monthly, quarterly)</t>
  </si>
  <si>
    <t>2. Dashboard presentation</t>
  </si>
  <si>
    <t>3. Good working experience in SQL, VBA and Advance excel</t>
  </si>
  <si>
    <t>4. Excellent communication skills required</t>
  </si>
  <si>
    <t>Thanks &amp; Regards,</t>
  </si>
  <si>
    <t>Charu</t>
  </si>
  <si>
    <t>Phone: 9650622118</t>
  </si>
  <si>
    <t>E-mail: impetus.charu@gmail.com</t>
  </si>
  <si>
    <t>RE:MIS Reporting Analyst(sql/vba)-closed</t>
  </si>
  <si>
    <t>CHARU - 9953635353</t>
  </si>
  <si>
    <t>Charu - 9953635353</t>
  </si>
  <si>
    <t>charu.jobfinder@gmail.com</t>
  </si>
  <si>
    <t>Re:REPORTING ANALYST FOR SENIOR ASSOCIATE POSITION/ TEAM LEAD</t>
  </si>
  <si>
    <t>INR 3,00,000 - 5,00,000 P.A.Openings: 5</t>
  </si>
  <si>
    <t>Interested Candidates can forward their CV to dimpy.sharma@accenture.com or call @7678648122</t>
  </si>
  <si>
    <t>to get</t>
  </si>
  <si>
    <t>Dimpy</t>
  </si>
  <si>
    <t>7678648122</t>
  </si>
  <si>
    <t>RE:Hiring for WFM MIS Automation-gurgaon</t>
  </si>
  <si>
    <t>Sahil</t>
  </si>
  <si>
    <t>9654985454-9711993198</t>
  </si>
  <si>
    <t>9654985454</t>
  </si>
  <si>
    <t>RE:MIS Executive- Male Candidate</t>
  </si>
  <si>
    <t>Bal Raksha Bharat</t>
  </si>
  <si>
    <t>1 - 2 yrs  Gurgaon</t>
  </si>
  <si>
    <t>20th March - 24th March , 9 AM onwards</t>
  </si>
  <si>
    <t>Plot no-316 Hartron Communication Pvt.Ltd, Udyog vihar phase-4,Behind India Bulls near by Spi</t>
  </si>
  <si>
    <t>ce jet</t>
  </si>
  <si>
    <t>Interested candidate can share their CV @ stc.hr@hartron.in or Call 9717178314 / 7985771549</t>
  </si>
  <si>
    <t>Thanks</t>
  </si>
  <si>
    <t>Anshu</t>
  </si>
  <si>
    <t>RE:WFM Reporting /automation (strong SQL exp)</t>
  </si>
  <si>
    <t>WFM Reporting /automation (strong SQL exp)</t>
  </si>
  <si>
    <t>Creative Indians hiring for One of the clients</t>
  </si>
  <si>
    <t>Call 7703868164/ CV at arti@creativeindians.co.in</t>
  </si>
  <si>
    <t>RE:Location : Gurgaon-Appointment time:10 AM</t>
  </si>
  <si>
    <t>CTC : Upto 3.75 LPA</t>
  </si>
  <si>
    <t>Qualification : Graduation</t>
  </si>
  <si>
    <t>Age : 25 yrs - 30 Yrs</t>
  </si>
  <si>
    <t>ARCHANA</t>
  </si>
  <si>
    <t>8872247379</t>
  </si>
  <si>
    <t>Urgent Job Opening - Assistant Manager (mis)</t>
  </si>
  <si>
    <t>i-Process Services (India) Pvt. Ltd.</t>
  </si>
  <si>
    <t>2 - 6 yrs  Gurgaon</t>
  </si>
  <si>
    <t>Intellect Career Solutions hiring for An MNC in Gurgaon!</t>
  </si>
  <si>
    <t>1 - 3 yrs  Gurgaon</t>
  </si>
  <si>
    <t>Warm Regards,</t>
  </si>
  <si>
    <t>Call 7703868164/ CV at arti@creativeindians.co</t>
  </si>
  <si>
    <t>RE:Sr.analyst MIS</t>
  </si>
  <si>
    <t>Brainwork Techno Solutions (P) Ltd.</t>
  </si>
  <si>
    <t xml:space="preserve"> 3 - 6 yrs  Gurgaon</t>
  </si>
  <si>
    <t>Business Insight and Technical know</t>
  </si>
  <si>
    <t>Data extraction tools</t>
  </si>
  <si>
    <t>SQL, SAS, IBM iSeries - AS400</t>
  </si>
  <si>
    <t>MS Access &amp; MS Excel (Advanced with VBA Programing).</t>
  </si>
  <si>
    <t>Familiarity with SAS</t>
  </si>
  <si>
    <t>arpita.brainworkhr@gmail.com</t>
  </si>
  <si>
    <t>RE:Team Lead - Reporting Finance for Gurgaon</t>
  </si>
  <si>
    <t>Recruiter Name:Ajay Khanna</t>
  </si>
  <si>
    <t>Email Address:choiceconsultants@gmail.com</t>
  </si>
  <si>
    <t>Telephone:9810649977</t>
  </si>
  <si>
    <t>Reference Id:TL-RF</t>
  </si>
  <si>
    <t>Salary:INR 3,50,000 - 5,50,000 P.A.</t>
  </si>
  <si>
    <t>Thanks &amp; Regards</t>
  </si>
  <si>
    <t>Rakesh Mishra</t>
  </si>
  <si>
    <t>Email: rakesh@adriyana.com</t>
  </si>
  <si>
    <t>Mob No: 9821182252/011-41704049</t>
  </si>
  <si>
    <t>Web : http://www.adriyana.com</t>
  </si>
  <si>
    <t>HR Consulatant</t>
  </si>
  <si>
    <t>ADRIYANA SOLUTIONS PVT. LTD</t>
  </si>
  <si>
    <t>(B-2/5, Vasant Vihar, Delhi-110057)</t>
  </si>
  <si>
    <t>Dear Sir,</t>
  </si>
  <si>
    <t>Thanks and Regards,</t>
  </si>
  <si>
    <t>Mamta Arora</t>
  </si>
  <si>
    <t>C-7/227, Sector-7, Rohini, New Delhi-110085, INDIA | W www.mas.net.in</t>
  </si>
  <si>
    <t>M +8383043628 | O +91 11 4559 6689 | E mamta.arora@mas.net.in | Skype mamta.arora@mas.net.in</t>
  </si>
  <si>
    <t>RE:Assisitant Manager(MIS)</t>
  </si>
  <si>
    <t>CTC:1,75,000 - 3,50,000 P.A.</t>
  </si>
  <si>
    <t>archana.thakur@iprocess.in</t>
  </si>
  <si>
    <t>Arpit Goel</t>
  </si>
  <si>
    <t>Talent Acquisition</t>
  </si>
  <si>
    <t>Head Field Solutions Pvt Ltd.</t>
  </si>
  <si>
    <t>M: 0120-4927062</t>
  </si>
  <si>
    <t>B-8, Sector-59, Noida-201301</t>
  </si>
  <si>
    <t>E: arpit@headfield.com | www.head-field.com</t>
  </si>
  <si>
    <t>Re:MIS Executive -Call on Monday</t>
  </si>
  <si>
    <t>V2 Retail Ltd.</t>
  </si>
  <si>
    <t>23rd November - 30th November , 9 AM onwards</t>
  </si>
  <si>
    <t>V2 Retail Ltd. Khasra No. 919,921,925 &amp; 926, First Floor, Right Fun &amp; Food Village,Kapashera,</t>
  </si>
  <si>
    <t xml:space="preserve"> New D</t>
  </si>
  <si>
    <t>Kuldeep Dixit</t>
  </si>
  <si>
    <t>9999392380</t>
  </si>
  <si>
    <t>"HEAD FIELD”</t>
  </si>
  <si>
    <t>8826178080-Shantanu-SBI Card Payment Services</t>
  </si>
  <si>
    <t>Zindal Intelligent</t>
  </si>
  <si>
    <t>NSN  Emp id:69085966</t>
  </si>
  <si>
    <t>Employee code:160303</t>
  </si>
  <si>
    <t>Skype id:careers.ssb</t>
  </si>
  <si>
    <t>Anikesh(IDS)-9877884036</t>
  </si>
  <si>
    <t>Skype userid:surendrayadav8@outlook.com</t>
  </si>
  <si>
    <t>Password: Surendra8</t>
  </si>
  <si>
    <t>9958786194-Julphikar-Intelinet</t>
  </si>
  <si>
    <t>SBI Process-Intelinet(SBI)</t>
  </si>
  <si>
    <t>Elecronic city-WDS Plot no-7</t>
  </si>
  <si>
    <t>Sanjeet.saxena@sbicard.com</t>
  </si>
  <si>
    <t>+91-9958786194-Julphikar</t>
  </si>
  <si>
    <t>Re:Urgent Opening for MIS Profile with Religare Health Insurance Company</t>
  </si>
  <si>
    <t xml:space="preserve"> 2 - 7 yrs</t>
  </si>
  <si>
    <t>Sakshi Nigam</t>
  </si>
  <si>
    <t>carrers@religarehealthinsurance.com</t>
  </si>
  <si>
    <t>Re:MIS Executive;Walkin Interview date:17th Feb-18</t>
  </si>
  <si>
    <t>Recruiter Name:Mr. Tarun</t>
  </si>
  <si>
    <t>Contact Company:Rajesh Projects (India) Pvt Ltd</t>
  </si>
  <si>
    <t>Address:501, RG TRADE TOWER, PLOT NO. B-7,NETAJI SUBHASH PLACE,WAZIRPUR DIST CENTER, PITAMPUR</t>
  </si>
  <si>
    <t>ANEW D</t>
  </si>
  <si>
    <t>Website:http://www.rajeshprojects.com</t>
  </si>
  <si>
    <t>Telephone:91-11-47770501</t>
  </si>
  <si>
    <t>Re:MIS Executive for BFSI Sector for PAN India</t>
  </si>
  <si>
    <t>Recruiter Name:Karishma Suri</t>
  </si>
  <si>
    <t>Website:http://alliedbcs.com/</t>
  </si>
  <si>
    <t>Telephone:8960593119</t>
  </si>
  <si>
    <t>sangeeta.singh@randstad.in OR can reach me at 9873418337</t>
  </si>
  <si>
    <t>Recruiter Name:Ms. Tanu</t>
  </si>
  <si>
    <t>Telephone:9015194279</t>
  </si>
  <si>
    <t>neha.shanker@wipro.com</t>
  </si>
  <si>
    <t>7703956434-BK JIO</t>
  </si>
  <si>
    <t>9818681039 -Shyam-AM-MIS-Kirti Nagar(40-50 K)</t>
  </si>
  <si>
    <t>Re:Mis Executive (Advanced Excel)</t>
  </si>
  <si>
    <t>geeta@bachatindia.com</t>
  </si>
  <si>
    <t>Geeta Bhatia -9582779177</t>
  </si>
  <si>
    <t>Bachat India Consultancy Pvt Ltd.</t>
  </si>
  <si>
    <t>7289833840-Vodafone</t>
  </si>
  <si>
    <t>MIS-9015194279-Tanu</t>
  </si>
  <si>
    <t>Re:Senior Data Analytics</t>
  </si>
  <si>
    <t>Rajeev Kumar</t>
  </si>
  <si>
    <t>Sr. HR. Executive [Recruitment]</t>
  </si>
  <si>
    <t>Contact No: 9999585189/ +91-120-6628509</t>
  </si>
  <si>
    <t>Virtual Employee Pvt. Ltd</t>
  </si>
  <si>
    <t>Email: rajeev.kumar@virtualemployee.com | Web: www.VirtualEmployee.com |</t>
  </si>
  <si>
    <t>Re:Relationship Manager</t>
  </si>
  <si>
    <t>Interested candidates send the resume to sweety.k@teamlease.com (OR) reach me directly on 882</t>
  </si>
  <si>
    <t>698369</t>
  </si>
  <si>
    <t>9956839695</t>
  </si>
  <si>
    <t>LR-ActiveSheet.Range("A2:A" &amp; Cells(Rows.count,"A").end(xlup).row).SpeccialCells(xlcelltypevi</t>
  </si>
  <si>
    <t>sible)</t>
  </si>
  <si>
    <t>=IF(ISERROR(VLOOKUP(D2, A2:B5,2,FALSE)),"Not found", VLOOKUP(D2, A2:B5,2,FALSE ))</t>
  </si>
  <si>
    <t>=IF(ISNA(VLOOKUP(F3,$A$3:$D$6,4,FALSE)),"Not found", VLOOKUP(F3,$A$3:$D$6,4,FALSE))</t>
  </si>
  <si>
    <t>=IFERROR(A2/B2)</t>
  </si>
  <si>
    <t>=IF(other.cell.reference&lt;&gt;"",other.cell.reference, "")</t>
  </si>
  <si>
    <t>=IF(Q1&lt;&gt;"", Q1, "")</t>
  </si>
  <si>
    <t>formula =if(a2="","",a2)</t>
  </si>
  <si>
    <t>=IF(A2=""," ",A2)</t>
  </si>
  <si>
    <t>312576907</t>
  </si>
  <si>
    <t>7706938642-Mala Home</t>
  </si>
  <si>
    <t>Rohit Yadav=&gt;+91-8052157648</t>
  </si>
  <si>
    <t>Yashi-8287966977/8510893875</t>
  </si>
  <si>
    <t>Amazon:=&gt;25-30 K+Meals+Cabs</t>
  </si>
  <si>
    <t>Company &amp; Profile &amp; Location</t>
  </si>
  <si>
    <t>Designation:Data entry Operator</t>
  </si>
  <si>
    <t>payal@gnap.in  RE-MIS Executive</t>
  </si>
  <si>
    <t>+91-9911368011-Payal(gNAP-HR)</t>
  </si>
  <si>
    <t>+91-9811368013-Payal(gNAP-HR)</t>
  </si>
  <si>
    <t>+91-9811498324-Gaurav Nanda(gaurav_nanda@gedaone.com:=&gt;MIS Executive</t>
  </si>
  <si>
    <t>+91-9899005134-Ajay Home Shop-18</t>
  </si>
  <si>
    <t>+91-7982127750-Ajay Home Shop-18</t>
  </si>
  <si>
    <t>+91-9999094084-Alok PaRC</t>
  </si>
  <si>
    <t>+91-83760633522-Amit PaRC</t>
  </si>
  <si>
    <t>+91-8010787376-Amit PaRC</t>
  </si>
  <si>
    <t>Re:vba Developer</t>
  </si>
  <si>
    <t>Narsa Reddy(+91-8066227648):Telephonoc Interview scheduled for IBM-Bangalore location</t>
  </si>
  <si>
    <t>28/11/2017:Tesday:5 PM</t>
  </si>
  <si>
    <t>bhajanpura bus-to-suryanagar bus stand---Near Mahendra show room-sokhiHeli-wom pvt ltd.Vaisha</t>
  </si>
  <si>
    <t>li Met</t>
  </si>
  <si>
    <t>Qality:</t>
  </si>
  <si>
    <t>Sokhi Heli-Wom Gears Pvt. Ltd.</t>
  </si>
  <si>
    <t>61/22 Site-4 Sahiababad Industrial Area</t>
  </si>
  <si>
    <t>Ghaziabad, U.P 201010</t>
  </si>
  <si>
    <t>India</t>
  </si>
  <si>
    <t>Phone: +(91) 01204344400</t>
  </si>
  <si>
    <t>Fax: +(91) 01204168468</t>
  </si>
  <si>
    <t>Contact: Ishpreet Sokhi, Director</t>
  </si>
  <si>
    <t>+91-2241130405</t>
  </si>
  <si>
    <t>9198278420-Mama</t>
  </si>
  <si>
    <t>RE:Data Scientist</t>
  </si>
  <si>
    <t>Aparna | HR  Recruitment Trainee | gNxt Systems</t>
  </si>
  <si>
    <t>Mobile: +911204292060</t>
  </si>
  <si>
    <t>aparna.chaudhary@gnxtsystems.com</t>
  </si>
  <si>
    <t>Re:VBA Developer</t>
  </si>
  <si>
    <t>IBM India Pvt.Ltd  Delhi-Location</t>
  </si>
  <si>
    <t>Narsa Redyy:+91-8066227557:CTC:5.5 LPA</t>
  </si>
  <si>
    <t>Payroll:Alchemy Techsol India Pvt Ltd :  Bengalore Based Company</t>
  </si>
  <si>
    <t>Narasareddy@alchemysolutions.in</t>
  </si>
  <si>
    <t>080-66222909</t>
  </si>
  <si>
    <t>Sushil Kumar Pandey:+91-9901911881</t>
  </si>
  <si>
    <t>sushilkumar.p@infosys.com</t>
  </si>
  <si>
    <t>Infosys Interview Panel: Manish Kumar Sharma.(+91-1413956000)</t>
  </si>
  <si>
    <t>Re:Senior Frenchiege Advisor Executive</t>
  </si>
  <si>
    <t>Interview date: 21/11/2017-Done</t>
  </si>
  <si>
    <t>Time: 2:00-4:00 pm</t>
  </si>
  <si>
    <t>Sector – 8, Noida – 201301.</t>
  </si>
  <si>
    <t>9811577696</t>
  </si>
  <si>
    <t>Final Round Director discussion Call on Friday between:Hold</t>
  </si>
  <si>
    <t>Global Enterprise Data Analytics</t>
  </si>
  <si>
    <t>C 43, Pamposh Enclave</t>
  </si>
  <si>
    <t>Greater Kailash- I</t>
  </si>
  <si>
    <t>New Delhi-110048</t>
  </si>
  <si>
    <t>011-41731475</t>
  </si>
  <si>
    <t>Gaurav Nanda-</t>
  </si>
  <si>
    <t>Date:27-30 Nov-2017</t>
  </si>
  <si>
    <t>Hiring Am/manager-mis for a Logistics Solutions Company</t>
  </si>
  <si>
    <t>People Arena Talent Acquisition LLP hiring for Pristine Logistics</t>
  </si>
  <si>
    <t xml:space="preserve"> 2 - 7 yrs  Delhi(2-5 LPA)</t>
  </si>
  <si>
    <t>Sanya Marwah:8010937039</t>
  </si>
  <si>
    <t>RE:MIS Excutive Billing (MIS,Access)</t>
  </si>
  <si>
    <t>Randeep Datta(011-42454231)</t>
  </si>
  <si>
    <t>Sun Airvoice Pvt.Ltd.</t>
  </si>
  <si>
    <t>Netaji Subhash Palace</t>
  </si>
  <si>
    <t>Namrata Rai</t>
  </si>
  <si>
    <t>Wipro Hiring Team</t>
  </si>
  <si>
    <t>Mob:- 7903132939</t>
  </si>
  <si>
    <t>namrata.rai@wipro.com</t>
  </si>
  <si>
    <t>JOB LOCATION - Noida</t>
  </si>
  <si>
    <t>JOB DESIGNATION - Associate</t>
  </si>
  <si>
    <t>SALARY - 1.50 - 1.90Lac</t>
  </si>
  <si>
    <t>INTERVIEW LOCATION - A1, Noida,Sector 3,Wipro Ltd.</t>
  </si>
  <si>
    <t>Re:MIS Executive:Need to contact on 10:30 AM</t>
  </si>
  <si>
    <t>I nterested candidates can share their CV on - suvasmita.rout@wipro.com</t>
  </si>
  <si>
    <t>OR, can directly call on 8109232356(suvasmita)</t>
  </si>
  <si>
    <t>Suvasmita Rout</t>
  </si>
  <si>
    <t>Mob: - 8109232356</t>
  </si>
  <si>
    <t>Suvasmita.rout@wipro.com</t>
  </si>
  <si>
    <t>Designation:Associate</t>
  </si>
  <si>
    <t>CONTACT PERSON- NAMRATA RAI @ 7903132939</t>
  </si>
  <si>
    <t>Interested candidates can share their CV on:</t>
  </si>
  <si>
    <t>Hiring For MS Excel/access Profile/day Shifts</t>
  </si>
  <si>
    <t xml:space="preserve">Salary:1,75,000 - 2,25,000 P.A.	</t>
  </si>
  <si>
    <t>NEERAJ SALARIYA@8285244315</t>
  </si>
  <si>
    <t>SALARY - 1.8-2.2 LPA</t>
  </si>
  <si>
    <t>For API in vba Reference=&gt;MS Active-X Data Objects 2.5 Library</t>
  </si>
  <si>
    <t>Re:Data Scientist</t>
  </si>
  <si>
    <t>Aparna | HR â€“ Recruitment Trainee | gNxt Systems</t>
  </si>
  <si>
    <t>7289833840-Amit Vodafone</t>
  </si>
  <si>
    <t>8468989115-Santosh-</t>
  </si>
  <si>
    <t>7290961680-Arju</t>
  </si>
  <si>
    <t>9871532817_Kanchan</t>
  </si>
  <si>
    <t>9811942414-Kanika</t>
  </si>
  <si>
    <t>99999024910-Anjali</t>
  </si>
  <si>
    <t>9643001863-Arpit</t>
  </si>
  <si>
    <t>8826691787-Krishan NSN</t>
  </si>
  <si>
    <t>9560393080-Mansi</t>
  </si>
  <si>
    <t>Raghu/Manjula(Wipro)-+91-4066309632</t>
  </si>
  <si>
    <t>Neeraj(Wipro-HR)-8285244315</t>
  </si>
  <si>
    <t>NAMRATA  RAI @ 7903132939 (namrata.rai@wipro.com)</t>
  </si>
  <si>
    <t>Suvasmita (Call me on 8109232356)-Wipro Ltd.</t>
  </si>
  <si>
    <t>Contact- Suvasmita Rout</t>
  </si>
  <si>
    <t>Contact Number- 8109232356</t>
  </si>
  <si>
    <t>(Wipro Talent Acquisition Team)</t>
  </si>
  <si>
    <t>NAMRATA MEHTA @ 8802467644</t>
  </si>
  <si>
    <t>WIPRO HIRING TEAM .</t>
  </si>
  <si>
    <t>Call HR Mayank 9711411465 for-We are Hiring for Back Office Executive at Dehi/ Ncr- 18k   -Sa</t>
  </si>
  <si>
    <t>lary:</t>
  </si>
  <si>
    <t>08076092762-R N</t>
  </si>
  <si>
    <t>Sub sbFileDelete() 'It will delete a particular file from a folder</t>
  </si>
  <si>
    <t>Dim fname,filename,folderpath as string</t>
  </si>
  <si>
    <t>folderpath=Thisworkbook.Path &amp; "\*.Txt"</t>
  </si>
  <si>
    <t>filename=Dir(folderpath)</t>
  </si>
  <si>
    <t>Do While filename&lt;&gt; " "</t>
  </si>
  <si>
    <t>if filename='Suri.Text" then Kill folderpath</t>
  </si>
  <si>
    <t>filename=Dir()</t>
  </si>
  <si>
    <t>MsgBox TT.xtx &amp;":file deleted from folder</t>
  </si>
  <si>
    <t>Sub sbFilesInAFolder() 'It will count no of files from a folder</t>
  </si>
  <si>
    <t>Dim Filename,FolderPath as string,count as long</t>
  </si>
  <si>
    <t>FolderPath=Thisworkbook.Path &amp;"\*.txt"</t>
  </si>
  <si>
    <t>filename=Dir(FolderPath)</t>
  </si>
  <si>
    <t>Do While Filename&lt;&gt;vbNullString</t>
  </si>
  <si>
    <t>count=count+1</t>
  </si>
  <si>
    <t>MsgBox count &amp;:"files found in this folder"</t>
  </si>
  <si>
    <t>Sub sbFileName() 'It will check a particular file and display its name</t>
  </si>
  <si>
    <t>Dim file,filename,folderpath as string</t>
  </si>
  <si>
    <t>folderpath=Thisworkbook.Path &amp; "\*.txt"</t>
  </si>
  <si>
    <t>folderpath="C:\Users\Surendra\Desktop\NewFolder\"</t>
  </si>
  <si>
    <t>Filename=Dir(FolderPath)</t>
  </si>
  <si>
    <t>Do While Filename&lt;&gt;vbNullstring</t>
  </si>
  <si>
    <t>If Filename="Suri.txt" then name=filename</t>
  </si>
  <si>
    <t>MsgBox name &amp;":file found in the folder"</t>
  </si>
  <si>
    <t>Sub sbTringCount() 'It will count the no of occurances of a particular strings in a cell</t>
  </si>
  <si>
    <t>Dim counter as long,Ruler as variant</t>
  </si>
  <si>
    <t>Ruler=Split(Range("A1"),"Suri")</t>
  </si>
  <si>
    <t>counter=UBound(Ruler)</t>
  </si>
  <si>
    <t>A module is used to store the VBA program code.</t>
  </si>
  <si>
    <t>Remark=Rem :=&gt;It is used as comment in vba(')</t>
  </si>
  <si>
    <t>Sub CalculateRunTime_Seconds()</t>
  </si>
  <si>
    <t xml:space="preserve"> Determine how many seconds it took for code to completely run</t>
  </si>
  <si>
    <t>Dim StartTime,SecondsElapsed As Double</t>
  </si>
  <si>
    <t>Remember time when macro starts</t>
  </si>
  <si>
    <t xml:space="preserve">  StartTime = Timer</t>
  </si>
  <si>
    <t>*****************************</t>
  </si>
  <si>
    <t>Insert Your Code Here...</t>
  </si>
  <si>
    <t>Determine how many seconds code took to run</t>
  </si>
  <si>
    <t xml:space="preserve">  SecondsElapsed = Round(Timer - StartTime, 2)</t>
  </si>
  <si>
    <t>Notify user in seconds</t>
  </si>
  <si>
    <t xml:space="preserve">  MsgBox "This code ran successfully in " &amp; SecondsElapsed &amp; " seconds", vbInformation</t>
  </si>
  <si>
    <t>Sub CalculateRunTime_Minutes()</t>
  </si>
  <si>
    <t xml:space="preserve"> Determine how many minutes it took for code to completely run</t>
  </si>
  <si>
    <t>Dim StartTime As Double</t>
  </si>
  <si>
    <t>Dim MinutesElapsed As String</t>
  </si>
  <si>
    <t xml:space="preserve">  MinutesElapsed = Format((Timer - StartTime) / 86400, "hh:mm:ss")</t>
  </si>
  <si>
    <t xml:space="preserve">  MsgBox "This code ran successfully in " &amp; MinutesElapsed &amp; " minutes", vbInformation</t>
  </si>
  <si>
    <t>Sub sbTimeDiff() 'Diffrence in hours</t>
  </si>
  <si>
    <t>Calculate time difference between two dates (DD/MM/YYY HH/MM) VBA (macro excel)</t>
  </si>
  <si>
    <t>MsgBox DateDiff("n", "02/01/2017 6:02", "03/01/2017 7:32") / 60</t>
  </si>
  <si>
    <t xml:space="preserve">	</t>
  </si>
  <si>
    <t>Sub dateFunctions()</t>
  </si>
  <si>
    <t xml:space="preserve">   strDateString = "The days between 3/15/2000 and today is: " &amp; _</t>
  </si>
  <si>
    <t xml:space="preserve">                    DateDiff("d", "3/15/2000", Now) &amp; vbCrLf &amp; _</t>
  </si>
  <si>
    <t xml:space="preserve">                   "The months between 3/15/2000 and today is: " &amp; _</t>
  </si>
  <si>
    <t xml:space="preserve">                    DateDiff("m", "3/15/2000", Now)</t>
  </si>
  <si>
    <t xml:space="preserve">                   "The years between 3/15/2000 and today is: " &amp; _</t>
  </si>
  <si>
    <t xml:space="preserve">                    DateDiff("yyyy", "3/15/2000", Now)</t>
  </si>
  <si>
    <t xml:space="preserve">   msgBox strDateString</t>
  </si>
  <si>
    <t>Sub dateDiff2()</t>
  </si>
  <si>
    <t xml:space="preserve">    Debug.Print DateDiff("d", Now, "10/10/03")</t>
  </si>
  <si>
    <t xml:space="preserve">    Debug.Print DateDiff("m", Now, "10/10/03")</t>
  </si>
  <si>
    <t xml:space="preserve">    Debug.Print DateDiff("yyyy", Now, "10/10/03")</t>
  </si>
  <si>
    <t>Sub sbDynamicRangeSelection()</t>
  </si>
  <si>
    <t>ThisWorkbook.Sheets("Datasheet").Cells(Range(Rows.count, "A").End(xlUp), Cells(1, Columns.cou</t>
  </si>
  <si>
    <t>nt).En</t>
  </si>
  <si>
    <t>Sub dateDiff3()</t>
  </si>
  <si>
    <t xml:space="preserve">                    DateDiff("m", "3/15/2000", Now) &amp; vbCrlF &amp; _</t>
  </si>
  <si>
    <t xml:space="preserve">                   "The years between 3/15/2000 and today is: "&amp;_</t>
  </si>
  <si>
    <t xml:space="preserve">                   DateDiff("yyyy", "3/15/2000", Now)</t>
  </si>
  <si>
    <t>+91-7860193161-Yashvi</t>
  </si>
  <si>
    <t>abhishek.tyagi@live-digital.in</t>
  </si>
  <si>
    <t>+91-7011425365 Abhishek :+91-8393899920</t>
  </si>
  <si>
    <t>Advanced Excel &amp; PPT:Genpact:Contract 6 months:</t>
  </si>
  <si>
    <t>Financial &amp; Account</t>
  </si>
  <si>
    <t>Position:Sr.Trianer</t>
  </si>
  <si>
    <t>Aisa MindMap from Hyderabad</t>
  </si>
  <si>
    <t>aisa@mindmap.com</t>
  </si>
  <si>
    <t>+91-4048525303</t>
  </si>
  <si>
    <t>+91-8686963418</t>
  </si>
  <si>
    <t>9711399827-Sudhir Pathak:sudhir.pathak@acme.in</t>
  </si>
  <si>
    <t>9911053674-Archit Rathore-Re:Reporting Analyst  =&gt;</t>
  </si>
  <si>
    <t>OraTreeSolutions Pvt.Ltd.</t>
  </si>
  <si>
    <t>C-24,Sector-2,Noida,Neha/Praveen</t>
  </si>
  <si>
    <t>+91-8851270197/+91-9910493399</t>
  </si>
  <si>
    <t>Amrutha Dubey-+91-9540021633(Recriutment Manager)-Digivarsal Consultant Pvt. Ltd.(3rd Floor,G</t>
  </si>
  <si>
    <t>24,Sec</t>
  </si>
  <si>
    <t>Neha(OraTreeSolutions)-Sector-2,Near Sector-15 Metro Station(+91-8851270197)-MIS Trainer;C-24</t>
  </si>
  <si>
    <t>,Secto</t>
  </si>
  <si>
    <t>Rakesh(Art India Pvt. Ltd.)-+91-1141704049-Chatarpur</t>
  </si>
  <si>
    <t>Anuj Tomar(Accenture)-+91-8860470402</t>
  </si>
  <si>
    <t>Bhupender Malik-9540107720(Surat) &amp; 9568390699(Home)</t>
  </si>
  <si>
    <t>Bhupesh Sharma-8527474431-TL</t>
  </si>
  <si>
    <t>Re:Advanced Excel &amp; PPT Trainer at Genpact in Noida:Contract 6 months:</t>
  </si>
  <si>
    <t xml:space="preserve"> Financial &amp; Account</t>
  </si>
  <si>
    <t>+91-8686963418=&gt;Aisa</t>
  </si>
  <si>
    <t>SAS-Statical Analysis System</t>
  </si>
  <si>
    <t>RE:=&gt;What is Module in VBA?</t>
  </si>
  <si>
    <t>Re: Develop GUI interfaces using VBA Excel programs?</t>
  </si>
  <si>
    <t>Re:Extensively use Excel functions in development, focusing on read/write integration to data</t>
  </si>
  <si>
    <t>bases?</t>
  </si>
  <si>
    <t>Re:Star schema structures knowledge is a plus?</t>
  </si>
  <si>
    <t>Re:How change an arbitrary range of values to ranged values?</t>
  </si>
  <si>
    <t>array [1 1 1 1 4 4 5 3 3 6 6 6 6 8]. the range is between 1 and 8 with some missing value as</t>
  </si>
  <si>
    <t>2, 7.</t>
  </si>
  <si>
    <t>I am going to convert an array as [1 2 6 12 13 15 20 8 30 31] to range [1 2 3 4 5 6 7 8 9 10]</t>
  </si>
  <si>
    <t xml:space="preserve"> in EX</t>
  </si>
  <si>
    <t>Option Base 1</t>
  </si>
  <si>
    <t>Dim i As Long, NumArr() As Variant</t>
  </si>
  <si>
    <t>NumArr = Array("1", "2", "3", "4", "5", "6", "7", "8")</t>
  </si>
  <si>
    <t>For i = LBound(NumArr) To UBound(NumArr)</t>
  </si>
  <si>
    <t>MsgBox i</t>
  </si>
  <si>
    <t>Sub sbCalculationInterrupt()</t>
  </si>
  <si>
    <t>Excel Calculation Interruption Key to stop the calculation</t>
  </si>
  <si>
    <t>Application.CalculationInterruptKey = xlAnyKey</t>
  </si>
  <si>
    <t>Application.CalculationInterruptKey = xlNoKey</t>
  </si>
  <si>
    <t>Application.CalculationInterruptKey = xlEscKey</t>
  </si>
  <si>
    <t>Refrence:R C Mishra(+91-9911299762)</t>
  </si>
  <si>
    <t>Sub sbCombines()</t>
  </si>
  <si>
    <t>For i = 1 To 8</t>
  </si>
  <si>
    <t>Range("B" &amp; i).Value = "B" &amp; i</t>
  </si>
  <si>
    <t>Range("C" &amp; i).Value = "C" &amp; i</t>
  </si>
  <si>
    <t>LCM*HCF=a*b</t>
  </si>
  <si>
    <t>01204398950</t>
  </si>
  <si>
    <t>Excellent Registration date:</t>
  </si>
  <si>
    <t>Date:21/09/2017</t>
  </si>
  <si>
    <t>09818968087-Sameer</t>
  </si>
  <si>
    <t>7292084160-Ritu</t>
  </si>
  <si>
    <t>Re:Reporting Analysts</t>
  </si>
  <si>
    <t>Ms.kajal</t>
  </si>
  <si>
    <t>HR Executive</t>
  </si>
  <si>
    <t>9871532817/ 7531851575 / 7531866033 /8802998802</t>
  </si>
  <si>
    <t>Note : Calling timing is 10:30am to 5:30pm</t>
  </si>
  <si>
    <t>Vidhi-Vidhi # 9711993747-MIS Executive(2.5-3.5 LPA)</t>
  </si>
  <si>
    <t>080466375122-Priyanka(Tekshaper.com)</t>
  </si>
  <si>
    <t>08046637554-Technical Manager</t>
  </si>
  <si>
    <t>RE:Software Engineer/ Software Developer</t>
  </si>
  <si>
    <t>Walk in Interview on Monday To Friday, Time 1 PM</t>
  </si>
  <si>
    <t>Venue:</t>
  </si>
  <si>
    <t>Asset Resources Consultants</t>
  </si>
  <si>
    <t>516, DLF Tower-A,5th Floor, Jasola District Center.</t>
  </si>
  <si>
    <t>Near Jasola Apolo Metro Station,ND-110025.</t>
  </si>
  <si>
    <t>Contact Person :Venkat 9999190572, Param 9958111043</t>
  </si>
  <si>
    <t>Asset Resources Consultants Hiring for Axis Travel Tech Pvt. Ltd.</t>
  </si>
  <si>
    <t>Top3 highest salary:</t>
  </si>
  <si>
    <t>&gt;SELECT  *FROM (SELECT *FROM emp ORDER BY Salary desc) WHERE rownum &lt;= 3 ORDER BY Salary ;</t>
  </si>
  <si>
    <t>&gt;SELECT * FROM (SELECT EMPLOYEE, LAST_NAME, SALARY,RANK() OVER (ORDER BY SALARY DESC) EMPRANK</t>
  </si>
  <si>
    <t xml:space="preserve"> FROM</t>
  </si>
  <si>
    <t>&gt;SELECT  Name,Salary FROM (SELECT Name,Salary FROM emp ORDER BY Salary desc) WHERE rownum &lt;=</t>
  </si>
  <si>
    <t>3 ORDE</t>
  </si>
  <si>
    <t>&gt;SELECT a.ename, b.sal FROM emp a, emp b WHERE a.empno = b.empno AND 3 &gt; (SELECT count(*) FRO</t>
  </si>
  <si>
    <t>M emp</t>
  </si>
  <si>
    <t>&gt;SELECT * FROM (SELECT EMPLOYEE, LAST_NAME, SALARY,DENSE_RANK() OVER (ORDER BY SALARY DESC) E</t>
  </si>
  <si>
    <t>MPRANK</t>
  </si>
  <si>
    <t>&gt;Select ename,job,sal from emp where sal &gt;=(select max(sal) from emp where sal &lt; (select max(</t>
  </si>
  <si>
    <t>sal) f</t>
  </si>
  <si>
    <t>&gt;SELECT salary,first_name||' '||last_name "Name of the employee" FROM hr.employees WHERE rown</t>
  </si>
  <si>
    <t>um &lt;=</t>
  </si>
  <si>
    <t>&gt;select empno,salary from emp e where 3 &gt; ( Select count(salary) from emp where e.salary &lt; sa</t>
  </si>
  <si>
    <t>lary )</t>
  </si>
  <si>
    <t>&gt;select * from (select empno,salary,Rank() over(order by salary desc) as rank from emp ) wher</t>
  </si>
  <si>
    <t>e Rank</t>
  </si>
  <si>
    <t>&gt;select * from (select empno,salary from emp order by salary desc) where rownum &lt;= 3;</t>
  </si>
  <si>
    <t>&gt;SELECT Name,Salary FROM (SELECT Name,Salary FROM emp ORDER BY Salary desc) WHERE rownum &lt;= 3</t>
  </si>
  <si>
    <t xml:space="preserve"> ORDER</t>
  </si>
  <si>
    <t>&gt;select top 3 sal from emp  order by sal desc;</t>
  </si>
  <si>
    <t>&gt;SELECT DISTINCT(salary) FROM emp order by salary asc limit 0 ,3</t>
  </si>
  <si>
    <t>&gt;SELECT * FROM Employees WHERE rownum &lt;= 3 ORDER BY Salary ;</t>
  </si>
  <si>
    <t>Calculate the difference between two times:=&gt;</t>
  </si>
  <si>
    <t>=B2-A2</t>
  </si>
  <si>
    <t>Hours between two times (4). You must manually apply the custom format "h" to the cell.</t>
  </si>
  <si>
    <t>Hours and minutes between two times (4:55). You must manually apply the custom format "h:mm"</t>
  </si>
  <si>
    <t>to the</t>
  </si>
  <si>
    <t>=TEXT(B2-A2,"h")</t>
  </si>
  <si>
    <t>=TEXT(B2-A2,"h:mm")</t>
  </si>
  <si>
    <t>=TEXT(B2-A2,"h:mm:ss")</t>
  </si>
  <si>
    <t>Formula</t>
  </si>
  <si>
    <t>Description (Result)</t>
  </si>
  <si>
    <t>=INT((B2-A2)*24)</t>
  </si>
  <si>
    <t>Total hours between two times (4)</t>
  </si>
  <si>
    <t>=(B2-A2)*1440</t>
  </si>
  <si>
    <t>Total minutes between two times (295)</t>
  </si>
  <si>
    <t>=(B2-A2)*86400</t>
  </si>
  <si>
    <t>Total seconds between two times (17700)</t>
  </si>
  <si>
    <t>=HOUR(B2-A2)</t>
  </si>
  <si>
    <t>The difference in the hours unit between two times. This value cannot exceed 24 (4).</t>
  </si>
  <si>
    <t>=MINUTE(B2-A2)</t>
  </si>
  <si>
    <t xml:space="preserve">The difference in the minutes unit between two times. This value cannot exceed 60 (55).	</t>
  </si>
  <si>
    <t>=SECOND(B2-A2)</t>
  </si>
  <si>
    <t>The difference in the seconds unit between two times. This value cannot exceed 60 (0).</t>
  </si>
  <si>
    <t>=TIMEVALUE("8:30 PM") - TIMEVALUE("6:40 AM")</t>
  </si>
  <si>
    <t>=TIME(HOUR(A2), MINUTE(A2), SECOND(A2)) - TIME(HOUR(B2), MINUTE(B2), SECOND(B2))</t>
  </si>
  <si>
    <t>=TIME(HOUR(NOW()),MINUTE(NOW()),SECOND(NOW()))-B4</t>
  </si>
  <si>
    <t>=TIME(HOUR(A7),MINUTE(A7),SECOND(A7))-TIME(HOUR(B7),MINUTE(B7),SECOND(B7))</t>
  </si>
  <si>
    <t>Calculate hours between two times: =TEXT(B2-A2, "h")</t>
  </si>
  <si>
    <t>Return hours and minutes between 2 times: =TEXT(B2-A2, "h:mm")</t>
  </si>
  <si>
    <t>Return hours, minutes and seconds between 2 times: =TEXT(B2-A2, "h:mm:ss")</t>
  </si>
  <si>
    <t>=(End time - Start time) * 24</t>
  </si>
  <si>
    <t>=(B2-A2) * 24</t>
  </si>
  <si>
    <t>=INT((B2-A2) * 24)</t>
  </si>
  <si>
    <t>=(End time - Start time) * 1440</t>
  </si>
  <si>
    <t>=(End time - Start time) * 86400</t>
  </si>
  <si>
    <t>=(B2-A2)* 86400</t>
  </si>
  <si>
    <t>=INT(B2-A2) &amp; " days, " &amp; HOUR(B2-A2) &amp; " hours, " &amp; MINUTE(B2-A2) &amp; " minutes and " &amp; SECOND</t>
  </si>
  <si>
    <t>(B2-A2</t>
  </si>
  <si>
    <t>=IF(INT(B2-A2)&gt;0, INT(B2-A2) &amp; " days, ","") &amp; IF(HOUR(B2-A2)&gt;0, HOUR(B2-A2) &amp; " hours, ","")</t>
  </si>
  <si>
    <t xml:space="preserve"> &amp; IF(</t>
  </si>
  <si>
    <t>=IF(A2-B2&gt;0, A2-B2, "-" &amp; TEXT(ABS(A2-B2),"h:mm"))</t>
  </si>
  <si>
    <t>=IF(A2-B2&gt;0, A2-B2, TEXT(ABS(A2-B2),"-h:mm"))</t>
  </si>
  <si>
    <t>ADDING TIME IN EXCEL:=&gt;</t>
  </si>
  <si>
    <t>=A2 + TIME(2, 0, 0)</t>
  </si>
  <si>
    <t>= Start time + (N hours / 24)</t>
  </si>
  <si>
    <t>SUBSTRACTING TIME IN EXCEL:=.</t>
  </si>
  <si>
    <t>=A2-(3/24)</t>
  </si>
  <si>
    <t>=A2-TIME(3,0,0)</t>
  </si>
  <si>
    <t>=Start time + TIME(0, N minutes, 0)</t>
  </si>
  <si>
    <t>=Start time + (N minutes / 1440)</t>
  </si>
  <si>
    <t>=Start time + TIME(0, 0, N seconds)</t>
  </si>
  <si>
    <t>To add more than 59 seconds, use the following formula:</t>
  </si>
  <si>
    <t>=Start time + (N seconds / 86400)</t>
  </si>
  <si>
    <t>To add 30 seconds to A2: =A2 + TIME(0,0,30)</t>
  </si>
  <si>
    <t>To add 1200 seconds to A2: =A2 + (1200/86400)</t>
  </si>
  <si>
    <t>To subtract 40 seconds from A2: =A2 - TIME(0,0,40)</t>
  </si>
  <si>
    <t>To subtract 900 seconds from A2: =A2 - (900/86400)</t>
  </si>
  <si>
    <t>CUSTOM:To display total time as minutes and seconds: [m]:ss</t>
  </si>
  <si>
    <t>CUSTOM FORMAT:=&gt;</t>
  </si>
  <si>
    <t>[h]:mm</t>
  </si>
  <si>
    <t>[h]:mm:ss</t>
  </si>
  <si>
    <t>d h:mm:ss</t>
  </si>
  <si>
    <t>d "day" h:mm:ss</t>
  </si>
  <si>
    <t>d "day","h"hours,"m"minutes and" s "seconds"</t>
  </si>
  <si>
    <t>?DateDiff("n", "6:45", "7:30") / 60</t>
  </si>
  <si>
    <t>Private Sub main()</t>
  </si>
  <si>
    <t>replace "J2" with the cell you want to insert the drop down list</t>
  </si>
  <si>
    <t>With Range("J2").Validation</t>
  </si>
  <si>
    <t>replace "=A1:A6" with the range the data is in.</t>
  </si>
  <si>
    <t>.Add Type:=xlValidateList, AlertStyle:=xlValidAlertStop, Operator:= xlBetween, Formula1:="=Sh</t>
  </si>
  <si>
    <t>eet1!A</t>
  </si>
  <si>
    <t>.IgnoreBlank = True</t>
  </si>
  <si>
    <t>.InCellDropdown = True</t>
  </si>
  <si>
    <t>.InputTitle = ""</t>
  </si>
  <si>
    <t>.ErrorTitle = ""</t>
  </si>
  <si>
    <t>.InputMessage = ""</t>
  </si>
  <si>
    <t>.ErrorMessage = ""</t>
  </si>
  <si>
    <t>.ShowInput = True</t>
  </si>
  <si>
    <t>.ShowError = True</t>
  </si>
  <si>
    <t>Sub Example2()</t>
  </si>
  <si>
    <t>It will show names of the folders and their associated paths are listed on column A and B</t>
  </si>
  <si>
    <t>Dim objFSO,objFolder,objSubFolder As Object</t>
  </si>
  <si>
    <t>Dim i As Integer</t>
  </si>
  <si>
    <t>Create an instance of the FileSystemObject</t>
  </si>
  <si>
    <t>Set objFSO = CreateObject("Scripting.FileSystemObject")</t>
  </si>
  <si>
    <t>Get the folder object</t>
  </si>
  <si>
    <t>Set objFolder = objFSO.GetFolder("D:StuffFreelancesWebsiteBlog")</t>
  </si>
  <si>
    <t>loops through each file in the directory and prints their names and path</t>
  </si>
  <si>
    <t>For Each objSubFolder In objFolder.subfolders</t>
  </si>
  <si>
    <t xml:space="preserve">    'print folder name</t>
  </si>
  <si>
    <t xml:space="preserve">    Cells(i + 1, 1) = objSubFolder.Name</t>
  </si>
  <si>
    <t xml:space="preserve">    'print folder path</t>
  </si>
  <si>
    <t xml:space="preserve">    Cells(i + 1, 2) = objSubFolder.Path</t>
  </si>
  <si>
    <t>Next objSubFolder</t>
  </si>
  <si>
    <t>Sub Rozwiń298_Zmienianie(Target)</t>
  </si>
  <si>
    <t xml:space="preserve">    Dim i,j,k,m As Integer</t>
  </si>
  <si>
    <t xml:space="preserve">    Dim lista() As Variant</t>
  </si>
  <si>
    <t xml:space="preserve">    i=1:j=1:m=0</t>
  </si>
  <si>
    <t xml:space="preserve">    Do While Sheets("Dane").Cells(i, 14) &lt;&gt; Target.Text</t>
  </si>
  <si>
    <t xml:space="preserve">        i = i + 1</t>
  </si>
  <si>
    <t xml:space="preserve">    j = i</t>
  </si>
  <si>
    <t xml:space="preserve">    Do While Sheets("Dane").Cells(j, 14) = Target.Text</t>
  </si>
  <si>
    <t xml:space="preserve">        j = j + 1</t>
  </si>
  <si>
    <t xml:space="preserve">    j = j - 1</t>
  </si>
  <si>
    <t xml:space="preserve">    k = j - i + 1</t>
  </si>
  <si>
    <t xml:space="preserve">    ReDim lista(k)</t>
  </si>
  <si>
    <t xml:space="preserve">    For m = 0 To k</t>
  </si>
  <si>
    <t xml:space="preserve">        lista(m) = Sheets("Dane").Cells(i, 15).Text</t>
  </si>
  <si>
    <t xml:space="preserve">    Next m</t>
  </si>
  <si>
    <t xml:space="preserve">    Sheets("Formularz").Shapes.Range(Array("Drop Down 298")).Select</t>
  </si>
  <si>
    <t xml:space="preserve">    With Selection</t>
  </si>
  <si>
    <t xml:space="preserve">        .List = lista</t>
  </si>
  <si>
    <t>Dim ws as worksheet</t>
  </si>
  <si>
    <t>If ws.Cells(ws.Rows.Count, "A").End(xlUp).Row &gt; 1 Then Range("A3:A" &amp; ws.Cells(ws.Rows.Count,</t>
  </si>
  <si>
    <t xml:space="preserve"> "A").</t>
  </si>
  <si>
    <t>If ActiveSheet.Cells(ws.Rows.Count, "A").End(xlUp).Row &gt; 1 Then Range("A2:A" &amp; ActiveSheet.C</t>
  </si>
  <si>
    <t>ells(A</t>
  </si>
  <si>
    <t>For Each ws In Worksheet</t>
  </si>
  <si>
    <t>Set ws = ActiveSheet</t>
  </si>
  <si>
    <t>If ws.Cells(ws.Rows.Count, "A").End(xlUp).Row &gt; 1 Then Range("A2:A" &amp; ws.Cells(ActiveSheet.R</t>
  </si>
  <si>
    <t>ows.Co</t>
  </si>
  <si>
    <t>If ws.Cells(ws.Rows.Count, "A").End(xlUp).Row &gt; 1 Then Range("A2:A" &amp; ws.Cells(ws.Rows.Count,</t>
  </si>
  <si>
    <t>Re:-So, when the interviewer asks, "Do you have any questions for me?" take advantage of this</t>
  </si>
  <si>
    <t xml:space="preserve"> oppor</t>
  </si>
  <si>
    <t>a.) How would you describe the company's culture?</t>
  </si>
  <si>
    <t>b.) What are the challenges of this position?</t>
  </si>
  <si>
    <t>c.) Can you tell me what steps need to be completed before your company can generate an offer</t>
  </si>
  <si>
    <t>?</t>
  </si>
  <si>
    <t>d.) What have past employees done to succeed in this position?</t>
  </si>
  <si>
    <t>e.) What are some of the problems your company faces right now? And what is your department d</t>
  </si>
  <si>
    <t>oing t</t>
  </si>
  <si>
    <t>f.) Beyond the hard skills required to successfully perform this job, what soft skills would</t>
  </si>
  <si>
    <t>serve</t>
  </si>
  <si>
    <t>g.) When your staff comes to you with conflicts, how do you respond?</t>
  </si>
  <si>
    <t>RE:-'Why should we hire you?</t>
  </si>
  <si>
    <t>Always support your statements by your credentials/facts &amp; figures</t>
  </si>
  <si>
    <t>Always mention your key achievements from your previous assignments including brief on challe</t>
  </si>
  <si>
    <t>nges,</t>
  </si>
  <si>
    <t>Research on company and study the requirement - emphasise your knowledge and experience to de</t>
  </si>
  <si>
    <t>monstr</t>
  </si>
  <si>
    <t>requirement of company</t>
  </si>
  <si>
    <t>Explain how you possess the combination of skills and experience that make you stand out from</t>
  </si>
  <si>
    <t xml:space="preserve"> the c</t>
  </si>
  <si>
    <t>Social presence and professional connections can be added advantage and uncovering  this make</t>
  </si>
  <si>
    <t>s you</t>
  </si>
  <si>
    <t>==</t>
  </si>
  <si>
    <t>Great attitude and adaptability</t>
  </si>
  <si>
    <t>Know everything about your prospective employer</t>
  </si>
  <si>
    <t>Team handling skills</t>
  </si>
  <si>
    <t>Deliver on time</t>
  </si>
  <si>
    <t>Re:-Executive/ Sr. Executive MIS</t>
  </si>
  <si>
    <t>Contact Details</t>
  </si>
  <si>
    <t>Recruiter Name:Varsha Bahuguna</t>
  </si>
  <si>
    <t>Contact Company:IndiaMART InterMESH Ltd</t>
  </si>
  <si>
    <t>Telephone:9873112485</t>
  </si>
  <si>
    <t>Address :7th &amp; 8th Floors, Advant-Navis Business Park, Plot No 7, Sector – 142</t>
  </si>
  <si>
    <t>Re:-Business Analyst/ Data Analyst</t>
  </si>
  <si>
    <t>Dipika kumari</t>
  </si>
  <si>
    <t>Tekshapers Software Solutions Pvt. Ltd.</t>
  </si>
  <si>
    <t>WMBE Certified | E-Verified Company | ISO 9001:2008</t>
  </si>
  <si>
    <t>Contact No. (O) 0120-4144444</t>
  </si>
  <si>
    <t>B-88 Sector-65, Noida (UP)</t>
  </si>
  <si>
    <t>Re:Opportunity for Lead /Sr. HR MIS Specialist</t>
  </si>
  <si>
    <t>Sravani Arasavalli | HR Executive</t>
  </si>
  <si>
    <t>Tel: 080-22513306, 9591017401</t>
  </si>
  <si>
    <t>Email id: sravani_arasavalli@kellyocg.com</t>
  </si>
  <si>
    <t>ActiveX controls are COM components or objects you can insert into a Web page or other applic</t>
  </si>
  <si>
    <t>ation</t>
  </si>
  <si>
    <t>someone else has programmed. You can use ActiveX controls developed for Visual Basic 6.0 and</t>
  </si>
  <si>
    <t>earlie</t>
  </si>
  <si>
    <t>the Toolbox of Visual Studio</t>
  </si>
  <si>
    <t>An ActiveX control is a component program object that can be re-used by many application prog</t>
  </si>
  <si>
    <t>rams w</t>
  </si>
  <si>
    <t>in a network. The technology for creating ActiveX controls is part of Microsoft's overall Act</t>
  </si>
  <si>
    <t>iveX s</t>
  </si>
  <si>
    <t>is the Component Object Model (COM).</t>
  </si>
  <si>
    <t>Standard ActiveX Controls:=&gt;</t>
  </si>
  <si>
    <t>The Learning edition of Visual Basic contains a number of ActiveX controls (referred to as st</t>
  </si>
  <si>
    <t>andard</t>
  </si>
  <si>
    <t>that allow you to add advanced features to your applications. ActiveX controls have the file</t>
  </si>
  <si>
    <t>name e</t>
  </si>
  <si>
    <t>be used in your project by manually adding them to the toolbox.</t>
  </si>
  <si>
    <t>The following table summarizes the standard ActiveX controls available in the Learning editio</t>
  </si>
  <si>
    <t>n of V</t>
  </si>
  <si>
    <t>Icon	Control name	Class name	Description</t>
  </si>
  <si>
    <t xml:space="preserve">	ADO Data Control	ADODC	Creates a connection to a database using ADO. Assignable to the DataS</t>
  </si>
  <si>
    <t>ource</t>
  </si>
  <si>
    <t xml:space="preserve">	Common dialog	CommonDialog	Provides a standard set of dialog boxes for operations such as op</t>
  </si>
  <si>
    <t>ening</t>
  </si>
  <si>
    <t xml:space="preserve">	DataCombo	DataCombo	Provides most of the features of the standard combo box control, plus in</t>
  </si>
  <si>
    <t>crease</t>
  </si>
  <si>
    <t xml:space="preserve">	DataGrid	DataGrid	A grid control that allows can be data-bound to a data source such as the</t>
  </si>
  <si>
    <t>ADO Da</t>
  </si>
  <si>
    <t xml:space="preserve">	DataList	DataList	Provides most of the features of the standard list box control, plus incre</t>
  </si>
  <si>
    <t>ased d</t>
  </si>
  <si>
    <t xml:space="preserve">	Microsoft Hierarchical FlexGrid	MSHFlexGrid	A read-only grid control that can be bound the D</t>
  </si>
  <si>
    <t>ata En</t>
  </si>
  <si>
    <t>Adding and Removing ActiveX Controls</t>
  </si>
  <si>
    <t>You move ActiveX controls to and from the toolbox using the following procedures.</t>
  </si>
  <si>
    <t>To add an ActiveX control to the toolbox</t>
  </si>
  <si>
    <t>From the Project menu, choose Components.</t>
  </si>
  <si>
    <t>Select the check box next to the name of the .ocx control, and then choose OK. Once a control</t>
  </si>
  <si>
    <t xml:space="preserve"> is pl</t>
  </si>
  <si>
    <t>To remove an ActiveX control</t>
  </si>
  <si>
    <t>Remove all instances of the control from the forms in your project. Delete any references to</t>
  </si>
  <si>
    <t>the co</t>
  </si>
  <si>
    <t>Clear the check box next to the name of the .ocx control, and then choose OK. An error messag</t>
  </si>
  <si>
    <t>e will</t>
  </si>
  <si>
    <t>Re:=&gt;What is DLL?</t>
  </si>
  <si>
    <t>DLL is a dynamic link library file format used for holding multiple codes and procedures for</t>
  </si>
  <si>
    <t>Window</t>
  </si>
  <si>
    <t>DLL files were created so that multiple programs could use their information at the same time</t>
  </si>
  <si>
    <t>, aidi</t>
  </si>
  <si>
    <t>Re:=&gt;What is a DLL?</t>
  </si>
  <si>
    <t>A DLL is a library that contains code and data that can be used by more than one program at t</t>
  </si>
  <si>
    <t>he sam</t>
  </si>
  <si>
    <t>By using a DLL, a program can be modularized into separate components. For example, an accoun</t>
  </si>
  <si>
    <t>ting p</t>
  </si>
  <si>
    <t>Additionally, updates are easier to apply to each module without affecting other parts of the</t>
  </si>
  <si>
    <t xml:space="preserve"> progr</t>
  </si>
  <si>
    <t>The following list describes some of the files that are implemented as DLLs in Windows operat</t>
  </si>
  <si>
    <t>ing sy</t>
  </si>
  <si>
    <t>ActiveX Controls (.ocx) files</t>
  </si>
  <si>
    <t>An example of an ActiveX control is a calendar control that lets you select a date from a cal</t>
  </si>
  <si>
    <t>endar.</t>
  </si>
  <si>
    <t>Control Panel (.cpl) files</t>
  </si>
  <si>
    <t>An example of a .cpl file is an item that is located in Control Panel. Each item is a special</t>
  </si>
  <si>
    <t>ized D</t>
  </si>
  <si>
    <t>Device driver (.drv) files</t>
  </si>
  <si>
    <t>An example of a device driver is a printer driver that controls the printing to a printer.</t>
  </si>
  <si>
    <t>DLL advantages:=&gt;</t>
  </si>
  <si>
    <t>The following list describes some of the advantages that are provided when a program uses a D</t>
  </si>
  <si>
    <t>LL:</t>
  </si>
  <si>
    <t>Uses fewer resources</t>
  </si>
  <si>
    <t>When multiple programs use the same library of functions, a DLL can reduce the duplication of</t>
  </si>
  <si>
    <t xml:space="preserve"> code</t>
  </si>
  <si>
    <t>Promotes modular architecture</t>
  </si>
  <si>
    <t>A DLL helps promote developing modular programs. This helps you develop large programs that r</t>
  </si>
  <si>
    <t>equire</t>
  </si>
  <si>
    <t>Eases deployment and installation</t>
  </si>
  <si>
    <t>When a function within a DLL needs an update or a fix, the deployment and installation of the</t>
  </si>
  <si>
    <t xml:space="preserve"> DLL d</t>
  </si>
  <si>
    <t>DLL dependencies:=&gt;</t>
  </si>
  <si>
    <t>When a program or a DLL uses a DLL function in another DLL, a dependency is created. Therefor</t>
  </si>
  <si>
    <t>e, the</t>
  </si>
  <si>
    <t>A dependent DLL is upgraded to a new version.</t>
  </si>
  <si>
    <t>A dependent DLL is fixed.</t>
  </si>
  <si>
    <t>A dependent DLL is overwritten with an earlier version.</t>
  </si>
  <si>
    <t>A dependent DLL is removed from the computer.</t>
  </si>
  <si>
    <t>These actions are generally known as DLL conflicts. If backward compatibility is not enforced</t>
  </si>
  <si>
    <t>, the</t>
  </si>
  <si>
    <t>The following list describes the changes that have been introduced in Microsoft Windows 2000</t>
  </si>
  <si>
    <t>and in</t>
  </si>
  <si>
    <t>to help minimize dependency issues:</t>
  </si>
  <si>
    <t>Windows File Protection</t>
  </si>
  <si>
    <t>In Windows File Protection, the operating system prevents system DLLs from being updated or d</t>
  </si>
  <si>
    <t>eleted</t>
  </si>
  <si>
    <t>agent. Therefore, when a program installation tries to remove or update a DLL that is defined</t>
  </si>
  <si>
    <t xml:space="preserve"> as a</t>
  </si>
  <si>
    <t>Protection will look for a valid digital signature.</t>
  </si>
  <si>
    <t>Private DLLs</t>
  </si>
  <si>
    <t>Private DLLs let you isolate a program from changes that are made to shared DLLs. Private DLL</t>
  </si>
  <si>
    <t>s use</t>
  </si>
  <si>
    <t>information or an empty .local file to enforce the version of the DLL that is used by the pro</t>
  </si>
  <si>
    <t>gram.</t>
  </si>
  <si>
    <t>locate your DLLs in the program root folder. Then, for new programs, add version-specific inf</t>
  </si>
  <si>
    <t>ormati</t>
  </si>
  <si>
    <t>For old programs, use an empty .local file. Each method tells the operating system to use the</t>
  </si>
  <si>
    <t xml:space="preserve"> priva</t>
  </si>
  <si>
    <t>located in the program root folder.</t>
  </si>
  <si>
    <t>DLL troubleshooting tools</t>
  </si>
  <si>
    <t>Several tools are available to help you troubleshoot DLL problems. The following tools are so</t>
  </si>
  <si>
    <t>me of</t>
  </si>
  <si>
    <t>Dependency Walker</t>
  </si>
  <si>
    <t>The Dependency Walker tool can recursively scan for all dependent DLLs that are used by a pro</t>
  </si>
  <si>
    <t>in Dependency Walker, Dependency Walker performs the following checks:</t>
  </si>
  <si>
    <t>Dependency Walker checks for missing DLLs.</t>
  </si>
  <si>
    <t>Dependency Walker checks for program files or DLLs that are not valid.</t>
  </si>
  <si>
    <t>Dependency Walker checks that import functions and export functions match.</t>
  </si>
  <si>
    <t>Dependency Walker checks for circular dependency errors.</t>
  </si>
  <si>
    <t>Dependency Walker checks for modules that are not valid because the modules are for a differe</t>
  </si>
  <si>
    <t>nt ope</t>
  </si>
  <si>
    <t>By using Dependency Walker, you can document all the DLLs that a program uses. This may help</t>
  </si>
  <si>
    <t>preven</t>
  </si>
  <si>
    <t>problems that may occur in the future. Dependency Walker is located in the following director</t>
  </si>
  <si>
    <t>y when</t>
  </si>
  <si>
    <t>Visual Studio 6.0:</t>
  </si>
  <si>
    <t>drive\Program Files\Microsoft Visual Studio\Common\Tools</t>
  </si>
  <si>
    <t>DLL Universal Problem Solver</t>
  </si>
  <si>
    <t>The DLL Universal Problem Solver (DUPS) tool is used to audit, compare, document, and display</t>
  </si>
  <si>
    <t xml:space="preserve"> DLL i</t>
  </si>
  <si>
    <t>The following list describes the utilities that make up the DUPS tool:</t>
  </si>
  <si>
    <t>Dlister.exe</t>
  </si>
  <si>
    <t>This utility enumerates all the DLLs on the computer and logs the information to a text file</t>
  </si>
  <si>
    <t>or to</t>
  </si>
  <si>
    <t>Dcomp.exe</t>
  </si>
  <si>
    <t>This utility compares the DLLs that are listed in two text files and produces a third text fi</t>
  </si>
  <si>
    <t>le tha</t>
  </si>
  <si>
    <t>Dtxt2DB.exe</t>
  </si>
  <si>
    <t>This utility loads the text files that are created by using the Dlister.exe utility and the D</t>
  </si>
  <si>
    <t>comp.e</t>
  </si>
  <si>
    <t>DlgDtxt2DB.exe</t>
  </si>
  <si>
    <t>This utility provides a graphical user interface (GUI) version of the Dtxt2DB.exe utility.</t>
  </si>
  <si>
    <t>For more information about the DUPS tool, click the following article number to view the arti</t>
  </si>
  <si>
    <t>cle in</t>
  </si>
  <si>
    <t>DLL development</t>
  </si>
  <si>
    <t>This section describes the issues and the requirements that you should consider when you deve</t>
  </si>
  <si>
    <t>lop yo</t>
  </si>
  <si>
    <t>Types of DLLs</t>
  </si>
  <si>
    <t>When you load a DLL in an application, two methods of linking let you call the exported DLL f</t>
  </si>
  <si>
    <t>unctio</t>
  </si>
  <si>
    <t>linking are load-time dynamic linking and run-time dynamic linking.</t>
  </si>
  <si>
    <t>Load-time dynamic linking</t>
  </si>
  <si>
    <t>In load-time dynamic linking, an application makes explicit calls to exported DLL functions l</t>
  </si>
  <si>
    <t>ike lo</t>
  </si>
  <si>
    <t>load-time dynamic linking, provide a header (.h) file and an import library (.lib) file when</t>
  </si>
  <si>
    <t>you co</t>
  </si>
  <si>
    <t>application. When you do this, the linker will provide the system with the information that i</t>
  </si>
  <si>
    <t>s requ</t>
  </si>
  <si>
    <t>resolve the exported DLL function locations at load time.</t>
  </si>
  <si>
    <t>Run-time dynamic linking</t>
  </si>
  <si>
    <t>In run-time dynamic linking, an application calls either the LoadLibrary function or the Load</t>
  </si>
  <si>
    <t>Librar</t>
  </si>
  <si>
    <t>DLL at run time. After the DLL is successfully loaded, you use the GetProcAddress function to</t>
  </si>
  <si>
    <t xml:space="preserve"> obtai</t>
  </si>
  <si>
    <t>exported DLL function that you want to call. When you use run-time dynamic linking, you do no</t>
  </si>
  <si>
    <t>t need</t>
  </si>
  <si>
    <t>The following list describes the application criteria for when to use load-time dynamic linki</t>
  </si>
  <si>
    <t>ng and</t>
  </si>
  <si>
    <t>dynamic linking:</t>
  </si>
  <si>
    <t>Startup performance</t>
  </si>
  <si>
    <t>If the initial startup performance of the application is important, you should use run-time d</t>
  </si>
  <si>
    <t>ynamic</t>
  </si>
  <si>
    <t xml:space="preserve">    Dim strFile As String, strPath As String</t>
  </si>
  <si>
    <t xml:space="preserve">    Dim colFiles As New Collection</t>
  </si>
  <si>
    <t xml:space="preserve">    Dim i As Integer</t>
  </si>
  <si>
    <t xml:space="preserve">    Dim rLog As Range, rOut As Range</t>
  </si>
  <si>
    <t xml:space="preserve">    Dim wsLog As Worksheet, wsOutp As Worksheet</t>
  </si>
  <si>
    <t xml:space="preserve">    strPath = "C:\TEMP\"</t>
  </si>
  <si>
    <t xml:space="preserve">    strFile = Dir(strPath)</t>
  </si>
  <si>
    <t xml:space="preserve">    ' Make a log sheet</t>
  </si>
  <si>
    <t xml:space="preserve">    Set wsLog = Sheets("PdfProcessLog")</t>
  </si>
  <si>
    <t xml:space="preserve">    If wsLog Is Nothing Then</t>
  </si>
  <si>
    <t xml:space="preserve">        Set wsLog = ThisWorkbook.Sheets.Add(before:=Sheets(1))</t>
  </si>
  <si>
    <t xml:space="preserve">        wsLog.Name = "PdfProcessLog"</t>
  </si>
  <si>
    <t xml:space="preserve">    Set rLog = wsLog.Range("A1")</t>
  </si>
  <si>
    <t xml:space="preserve">    rLog.CurrentRegion.ClearContents</t>
  </si>
  <si>
    <t xml:space="preserve">    rLog.Value = "PDF files copied to sheets"</t>
  </si>
  <si>
    <t xml:space="preserve">    ' load all the files in a Collection</t>
  </si>
  <si>
    <t xml:space="preserve">    While strFile &lt;&gt; ""</t>
  </si>
  <si>
    <t xml:space="preserve">        If StrComp(Right(strFile, 3), "pdf", vbTextCompare) = 0 Then</t>
  </si>
  <si>
    <t xml:space="preserve">            colFiles.Add strFile</t>
  </si>
  <si>
    <t xml:space="preserve">        strFile = Dir</t>
  </si>
  <si>
    <t xml:space="preserve">    Wend</t>
  </si>
  <si>
    <t xml:space="preserve">    'Loop through the pdf's stored in the collection</t>
  </si>
  <si>
    <t xml:space="preserve">    For i = 1 To colFiles.Count</t>
  </si>
  <si>
    <t xml:space="preserve">        'List filenames in Column A of the log sheet</t>
  </si>
  <si>
    <t xml:space="preserve">        rLog.Offset(i, 0).Value = colFiles(i)</t>
  </si>
  <si>
    <t xml:space="preserve">        strFile = Left(colFiles(i), Len(colFiles(i)) - 4)</t>
  </si>
  <si>
    <t xml:space="preserve">        ' Delete sheet with filename if exists</t>
  </si>
  <si>
    <t xml:space="preserve">        On Error Resume Next</t>
  </si>
  <si>
    <t xml:space="preserve">        Set wsOutp = Sheets(strFile)</t>
  </si>
  <si>
    <t xml:space="preserve">        On Error GoTo 0</t>
  </si>
  <si>
    <t xml:space="preserve">        If Not wsOutp Is Nothing Then</t>
  </si>
  <si>
    <t xml:space="preserve">            wsOutp.Delete</t>
  </si>
  <si>
    <t xml:space="preserve">        ' (Re)Create the worksheet, give it the file name</t>
  </si>
  <si>
    <t xml:space="preserve">        Set wsOutp = ThisWorkbook.Sheets.Add(after:=wsLog)</t>
  </si>
  <si>
    <t xml:space="preserve">        wsOutp.Name = strFile</t>
  </si>
  <si>
    <t xml:space="preserve">        ' Now open the file, and copy contents</t>
  </si>
  <si>
    <t xml:space="preserve">        OpenClosePDF colFiles(i), strPath</t>
  </si>
  <si>
    <t xml:space="preserve">        CopyStep wsOutp</t>
  </si>
  <si>
    <t xml:space="preserve">    Next i</t>
  </si>
  <si>
    <t xml:space="preserve">    Application.DisplayAlerts = True</t>
  </si>
  <si>
    <t>Sub OpenClosePDF(ByVal sAdobeFile As String, ByVal sPath As String)</t>
  </si>
  <si>
    <t xml:space="preserve">    Dim sAdobeApp As String</t>
  </si>
  <si>
    <t xml:space="preserve">    Dim vStartAdobe As Variant</t>
  </si>
  <si>
    <t xml:space="preserve">    sAdobeApp = "C:\Program Files (x86)\Adobe\Acrobat 5.0\Reader\AcroRd32.exe"</t>
  </si>
  <si>
    <t xml:space="preserve">    sAdobeApp = "C:\Program Files\Adobe\Reader 11.0\Reader\AcroRd32.exe"</t>
  </si>
  <si>
    <t xml:space="preserve">    vStartAdobe = Shell("" &amp; sAdobeApp &amp; " " &amp; sPath &amp; sAdobeFile &amp; "", 1)</t>
  </si>
  <si>
    <t xml:space="preserve">    Application.Wait (Now + TimeValue("0:00:01"))</t>
  </si>
  <si>
    <t>Private Sub CopyStep(wsOutp As Worksheet)</t>
  </si>
  <si>
    <t xml:space="preserve">    ' select all &amp; copy</t>
  </si>
  <si>
    <t xml:space="preserve">    SendKeys "^a", True</t>
  </si>
  <si>
    <t xml:space="preserve">    SendKeys "^c", True</t>
  </si>
  <si>
    <t xml:space="preserve">     Application.Wait (Now + TimeValue("0:00:01"))</t>
  </si>
  <si>
    <t xml:space="preserve">   ' Paste into the sheet from cell A1</t>
  </si>
  <si>
    <t xml:space="preserve">    wsOutp.Paste Cells(1, 1)</t>
  </si>
  <si>
    <t xml:space="preserve">    AppActivate "Adobe Reader"</t>
  </si>
  <si>
    <t xml:space="preserve">    ' close Reader</t>
  </si>
  <si>
    <t xml:space="preserve">    SendKeys "%{F4}", True</t>
  </si>
  <si>
    <t>Sub sbPDF()</t>
  </si>
  <si>
    <t>Dim myPath As String, myExt As String</t>
  </si>
  <si>
    <t>Dim openPDF As Object</t>
  </si>
  <si>
    <t>Dim pasteData As MSForms.DataObject</t>
  </si>
  <si>
    <t>Dim fCell As Range</t>
  </si>
  <si>
    <t>Set pasteData = New MSForms.DataObject</t>
  </si>
  <si>
    <t>Set ws = Sheets("DATA")</t>
  </si>
  <si>
    <t>myExt = "\*.pdf"</t>
  </si>
  <si>
    <t>When Scan Receipts Button Pressed Scan the selected folder/s for receipts</t>
  </si>
  <si>
    <t>For Each fCell In Range(ws.Cells(1, 1), ws.Cells(1, ws.Cells(1, ws.Columns.Count).End(xlToLef</t>
  </si>
  <si>
    <t>t).Col</t>
  </si>
  <si>
    <t xml:space="preserve">    myPath = Dir(fCell.Value &amp; myExt)</t>
  </si>
  <si>
    <t xml:space="preserve">    Do While myPath &lt;&gt; ""</t>
  </si>
  <si>
    <t xml:space="preserve">        myPath = fCell.Value &amp; "\" &amp; myPath</t>
  </si>
  <si>
    <t xml:space="preserve">        Set openPDF = CreateObject("Shell.Application")</t>
  </si>
  <si>
    <t xml:space="preserve">        openPDF.Open (myPath)</t>
  </si>
  <si>
    <t xml:space="preserve">        Application.Wait Now + TimeValue("00:00:2")</t>
  </si>
  <si>
    <t xml:space="preserve">        SendKeys "^a"</t>
  </si>
  <si>
    <t xml:space="preserve">        SendKeys "^c"</t>
  </si>
  <si>
    <t xml:space="preserve">        'Application.Wait Now + TimeValue("00:00:2")</t>
  </si>
  <si>
    <t xml:space="preserve">        ws.Select</t>
  </si>
  <si>
    <t xml:space="preserve">        ActiveSheet.Paste</t>
  </si>
  <si>
    <t xml:space="preserve">        'pasteData.GetFromClipboard</t>
  </si>
  <si>
    <t xml:space="preserve">        'ws.Cells(3, 1) = pasteData.GetText</t>
  </si>
  <si>
    <t xml:space="preserve">        Exit Sub</t>
  </si>
  <si>
    <t xml:space="preserve">        myPath = Dir</t>
  </si>
  <si>
    <t>Next fCell</t>
  </si>
  <si>
    <t>Function getTextFromPDF(ByVal strFilename As String) As String</t>
  </si>
  <si>
    <t xml:space="preserve">   Dim objAVDoc As New AcroAVDoc</t>
  </si>
  <si>
    <t xml:space="preserve">   Dim objPDDoc As New AcroPDDoc</t>
  </si>
  <si>
    <t xml:space="preserve">   Dim objPage As AcroPDPage</t>
  </si>
  <si>
    <t xml:space="preserve">   Dim objSelection As AcroPDTextSelect</t>
  </si>
  <si>
    <t xml:space="preserve">   Dim objHighlight As AcroHiliteList</t>
  </si>
  <si>
    <t xml:space="preserve">   Dim pageNum As Long</t>
  </si>
  <si>
    <t xml:space="preserve">   Dim strText As String</t>
  </si>
  <si>
    <t xml:space="preserve">   strText = ""</t>
  </si>
  <si>
    <t xml:space="preserve">   If (objAvDoc.Open(strFilename, "") Then</t>
  </si>
  <si>
    <t xml:space="preserve">      Set objPDDoc = objAVDoc.GetPDDoc</t>
  </si>
  <si>
    <t xml:space="preserve">      For pageNum = 0 To objPDDoc.GetNumPages() - 1</t>
  </si>
  <si>
    <t xml:space="preserve">         Set objPage = objPDDoc.AcquirePage(pageNum)</t>
  </si>
  <si>
    <t xml:space="preserve">         Set objHighlight = New AcroHiliteList</t>
  </si>
  <si>
    <t xml:space="preserve">         objHighlight.Add 0, 10000 ' Adjust this up if it's not getting all the text on the p</t>
  </si>
  <si>
    <t>age</t>
  </si>
  <si>
    <t xml:space="preserve">         Set objSelection = objPage.CreatePageHilite(objHighlight)</t>
  </si>
  <si>
    <t xml:space="preserve">         If Not objSelection Is Nothing Then</t>
  </si>
  <si>
    <t xml:space="preserve">            For tCount = 0 To objSelection.GetNumText - 1</t>
  </si>
  <si>
    <t xml:space="preserve">               strText = strText &amp; objSelection.GetText(tCount)</t>
  </si>
  <si>
    <t xml:space="preserve">            Next tCount</t>
  </si>
  <si>
    <t xml:space="preserve">         End If</t>
  </si>
  <si>
    <t xml:space="preserve">      Next pageNum</t>
  </si>
  <si>
    <t xml:space="preserve">      objAVDoc.Close 1</t>
  </si>
  <si>
    <t xml:space="preserve">   getTextFromPDF = strText</t>
  </si>
  <si>
    <t>Sub ReadIntoExcel(PDFName As String)</t>
  </si>
  <si>
    <t xml:space="preserve">        'Convert PDF to text</t>
  </si>
  <si>
    <t xml:space="preserve">        Shell "C:\Utils\pdftotext.exe -layout " &amp; PDFName &amp; " tempfile.txt"</t>
  </si>
  <si>
    <t xml:space="preserve">        'Read in the text file and write to Excel</t>
  </si>
  <si>
    <t xml:space="preserve">        Dim TextLine as String</t>
  </si>
  <si>
    <t xml:space="preserve">        Dim RowNumber as Integer</t>
  </si>
  <si>
    <t xml:space="preserve">        Dim F1 as Integer</t>
  </si>
  <si>
    <t xml:space="preserve">        RowNumber = 1</t>
  </si>
  <si>
    <t xml:space="preserve">        F1 = Freefile()</t>
  </si>
  <si>
    <t xml:space="preserve">        Open "tempfile.txt" for Input as #F1</t>
  </si>
  <si>
    <t xml:space="preserve">            While Not EOF(#F1)</t>
  </si>
  <si>
    <t xml:space="preserve">                Line Input #F1, TextLine</t>
  </si>
  <si>
    <t xml:space="preserve">                ThisWorkbook.WorkSheets(1).Cells(RowNumber, 1).Value = TextLine</t>
  </si>
  <si>
    <t xml:space="preserve">                RowNumber = RowNumber + 1</t>
  </si>
  <si>
    <t xml:space="preserve">            Wend</t>
  </si>
  <si>
    <t xml:space="preserve">        Close #F1</t>
  </si>
  <si>
    <t>Private Sub CommandButton1_Click()</t>
  </si>
  <si>
    <t xml:space="preserve"> Create TextExtractor object</t>
  </si>
  <si>
    <t xml:space="preserve"> Set extractor = CreateObject("Bytescout.PDFExtractor.TextExtractor")</t>
  </si>
  <si>
    <t>Dim extractor As New Bytescout_PDFExtractor.TextExtractor</t>
  </si>
  <si>
    <t>extractor.RegistrationName = "demo"</t>
  </si>
  <si>
    <t>extractor.RegistrationKey = "demo"</t>
  </si>
  <si>
    <t xml:space="preserve"> Load sample PDF document</t>
  </si>
  <si>
    <t>extractor.LoadDocumentFromFile ("c:\sample1.pdf")</t>
  </si>
  <si>
    <t xml:space="preserve"> Get page count</t>
  </si>
  <si>
    <t>pageCount = extractor.GetPageCount()</t>
  </si>
  <si>
    <t>Dim TxtRng  As Range</t>
  </si>
  <si>
    <t>Set ws = wb.Sheets("Sheet1")</t>
  </si>
  <si>
    <t>For i = 0 To pageCount - 1</t>
  </si>
  <si>
    <t xml:space="preserve">            RectLeft = 10</t>
  </si>
  <si>
    <t xml:space="preserve">            RectTop = 10</t>
  </si>
  <si>
    <t xml:space="preserve">            RectWidth = 100</t>
  </si>
  <si>
    <t xml:space="preserve">            RectHeight = 100</t>
  </si>
  <si>
    <t xml:space="preserve">            ' check the same text is extracted from returned coordinates</t>
  </si>
  <si>
    <t xml:space="preserve">            extractor.SetExtractionArea RectLeft, RectTop, RectWidth, RectHeight</t>
  </si>
  <si>
    <t xml:space="preserve">            ' extract text from given area</t>
  </si>
  <si>
    <t xml:space="preserve">            extractedText = extractor.GetTextFromPage(i)</t>
  </si>
  <si>
    <t xml:space="preserve">            ' insert rows</t>
  </si>
  <si>
    <t xml:space="preserve">            ' Rows(1).Insert shift:=xlShiftDown</t>
  </si>
  <si>
    <t xml:space="preserve">            ' write cell value</t>
  </si>
  <si>
    <t xml:space="preserve">            Set TxtRng = ws.Range("A" &amp; CStr(i + 2))</t>
  </si>
  <si>
    <t xml:space="preserve">             TxtRng.Value = extractedText</t>
  </si>
  <si>
    <t>Next</t>
  </si>
  <si>
    <t>Set extractor = Nothing</t>
  </si>
  <si>
    <t>Re:=&gt;VBA - Extract Data from PDF and Add to Worksheet?</t>
  </si>
  <si>
    <t>Sub sbTestPDF()</t>
  </si>
  <si>
    <t>adobeApp = "C:\Program Files\Adobe\Reader 10.0\Reader\AcroRd32.exe"</t>
  </si>
  <si>
    <t>folderLoc = "M:\Source Files\folder1\Reports\"</t>
  </si>
  <si>
    <t>numFiles = 0</t>
  </si>
  <si>
    <t>i = -1</t>
  </si>
  <si>
    <t>fName = Dir(folderLoc)</t>
  </si>
  <si>
    <t>While fName &lt;&gt; ""</t>
  </si>
  <si>
    <t>numFiles = numFiles + 1</t>
  </si>
  <si>
    <t>i = i + 1</t>
  </si>
  <si>
    <t>ReDim Preserve fNameArray(numFiles-1)</t>
  </si>
  <si>
    <t>fNameArray(i) = fName</t>
  </si>
  <si>
    <t>fName = Dir()</t>
  </si>
  <si>
    <t>Wend</t>
  </si>
  <si>
    <t>If numFiles &gt; 0 Then</t>
  </si>
  <si>
    <t>For i = 0 To UBound(fNameArray)</t>
  </si>
  <si>
    <t>adobeFile = folderLoc + fNameArray(i)</t>
  </si>
  <si>
    <t>fName = Dir(adobeFile)</t>
  </si>
  <si>
    <t>fileDate = Mid(fName, 6, 8)</t>
  </si>
  <si>
    <t>fileYear = Left(fileDate, 4)</t>
  </si>
  <si>
    <t>fileMonth = Mid(fileDate, 5, 2)</t>
  </si>
  <si>
    <t>tagMonth = Left(MonthName(fileMonth), 3)</t>
  </si>
  <si>
    <t>fileDay = Mid(fileDate, 7, 2)</t>
  </si>
  <si>
    <t>Set ws4 = Worksheets(tagMonth &amp; " " &amp; Right(fileYear, 2))</t>
  </si>
  <si>
    <t>lRow = ws4.UsedRange.Rows.Count</t>
  </si>
  <si>
    <t>startAdobe = Shell("" &amp; adobeApp &amp; " " &amp; adobeFile &amp; "", 1)</t>
  </si>
  <si>
    <t>Application.Wait (Now + TimeValue("00:00:05"))</t>
  </si>
  <si>
    <t>SendKeys ("^a")</t>
  </si>
  <si>
    <t>SendKeys ("^c")</t>
  </si>
  <si>
    <t>This re-activates MS Excel.</t>
  </si>
  <si>
    <t>AppActivate "Microsoft Excel"</t>
  </si>
  <si>
    <t>If Worksheets(3).Name = "PDF Dump" Then</t>
  </si>
  <si>
    <t>Sheets("PDF Dump").UsedRange.Clear</t>
  </si>
  <si>
    <t>Cells(1, 1).Select</t>
  </si>
  <si>
    <t>Worksheets.Add(AFTER:=Worksheets("whatever")).Name = "PDF Dump"</t>
  </si>
  <si>
    <t>Set ws3 = Worksheets("PDF Dump")</t>
  </si>
  <si>
    <t>ReDim Preserve</t>
  </si>
  <si>
    <t>ReDim will re-initialize the array and destroy any data in it unless you use the Preserve key</t>
  </si>
  <si>
    <t>word.</t>
  </si>
  <si>
    <t>It is possible to resize an array without losing the existing values by using the Preserve ke</t>
  </si>
  <si>
    <t>yword.</t>
  </si>
  <si>
    <t>ReDim Preserve aCellValues(50)</t>
  </si>
  <si>
    <t>Name</t>
  </si>
  <si>
    <t>Dept</t>
  </si>
  <si>
    <t>Location</t>
  </si>
  <si>
    <t>AS</t>
  </si>
  <si>
    <t>ER</t>
  </si>
  <si>
    <t>WE</t>
  </si>
  <si>
    <t>RT</t>
  </si>
  <si>
    <t>SD</t>
  </si>
  <si>
    <t>TY</t>
  </si>
  <si>
    <t>SDE</t>
  </si>
  <si>
    <t>WER</t>
  </si>
  <si>
    <t>IUY</t>
  </si>
  <si>
    <t>WET</t>
  </si>
  <si>
    <t>ETR</t>
  </si>
  <si>
    <t>Updated_Location</t>
  </si>
  <si>
    <t>Noida</t>
  </si>
  <si>
    <t>Gurgaon</t>
  </si>
  <si>
    <t>NCR Gurgaon</t>
  </si>
  <si>
    <t>NCR Noida</t>
  </si>
  <si>
    <t>YU</t>
  </si>
  <si>
    <t>WRE</t>
  </si>
  <si>
    <t>UYT</t>
  </si>
  <si>
    <t>ERT</t>
  </si>
  <si>
    <t>JKU</t>
  </si>
  <si>
    <t>HJU</t>
  </si>
  <si>
    <t>KIO</t>
  </si>
  <si>
    <t>NCR</t>
  </si>
  <si>
    <t>DELHI</t>
  </si>
  <si>
    <t>GURGAON</t>
  </si>
  <si>
    <t>NOIDA</t>
  </si>
  <si>
    <t>MUMBAI</t>
  </si>
  <si>
    <t>Company Name</t>
  </si>
  <si>
    <t>Apple</t>
  </si>
  <si>
    <t>Google</t>
  </si>
  <si>
    <t>Microsoft</t>
  </si>
  <si>
    <t>Airtel</t>
  </si>
  <si>
    <t>Nokia</t>
  </si>
  <si>
    <t>Cognigent</t>
  </si>
  <si>
    <t>American Express</t>
  </si>
  <si>
    <t>Infosys</t>
  </si>
  <si>
    <t>TCS</t>
  </si>
  <si>
    <t>Company Name1</t>
  </si>
  <si>
    <t>&lt;&gt;Google</t>
  </si>
  <si>
    <t>&lt;&gt;Apple</t>
  </si>
  <si>
    <t>&lt;&gt;Macrosoft</t>
  </si>
  <si>
    <t xml:space="preserve">  S u ren dr a</t>
  </si>
  <si>
    <t xml:space="preserve">   Google</t>
  </si>
  <si>
    <t xml:space="preserve">    Nokia</t>
  </si>
  <si>
    <t xml:space="preserve">       Infosys</t>
  </si>
  <si>
    <t>Suri is</t>
  </si>
  <si>
    <t>Surendra is</t>
  </si>
  <si>
    <t>Surendra Kumar is</t>
  </si>
  <si>
    <t>Surendra Kumar Yadav is</t>
  </si>
  <si>
    <t xml:space="preserve">Suri </t>
  </si>
  <si>
    <t xml:space="preserve">Surendra </t>
  </si>
  <si>
    <t xml:space="preserve">Surendra Kumar </t>
  </si>
  <si>
    <t xml:space="preserve">Surendra Kumar Yadav </t>
  </si>
  <si>
    <t>Apple/Apple</t>
  </si>
  <si>
    <t>Google/Google</t>
  </si>
  <si>
    <t>Microsoft/Microsoft</t>
  </si>
  <si>
    <t>Airtel/Airtel</t>
  </si>
  <si>
    <t>Nokia/Nokia</t>
  </si>
  <si>
    <t>Cognigent/Cognigent</t>
  </si>
  <si>
    <t>American Express/American Express</t>
  </si>
  <si>
    <t>Infosys/Infosys</t>
  </si>
  <si>
    <t>TCS/TCS</t>
  </si>
  <si>
    <t>Appl</t>
  </si>
  <si>
    <t>Goog</t>
  </si>
  <si>
    <t>pple</t>
  </si>
  <si>
    <t>ogle</t>
  </si>
  <si>
    <t>Date</t>
  </si>
  <si>
    <t>Status</t>
  </si>
  <si>
    <t>JUL</t>
  </si>
  <si>
    <t>AUG</t>
  </si>
  <si>
    <t>Drop-Down1</t>
  </si>
  <si>
    <t>Drop-Down2</t>
  </si>
  <si>
    <t>Product Type</t>
  </si>
  <si>
    <t>Product Item</t>
  </si>
  <si>
    <t>Fruit</t>
  </si>
  <si>
    <t>Vegetables</t>
  </si>
  <si>
    <t>Grapes</t>
  </si>
  <si>
    <t>Banana</t>
  </si>
  <si>
    <t>Orange</t>
  </si>
  <si>
    <t>Cabbage</t>
  </si>
  <si>
    <t>Cauliflower</t>
  </si>
  <si>
    <t>Brinjal</t>
  </si>
  <si>
    <t>Potato</t>
  </si>
  <si>
    <t>Partner Type</t>
  </si>
  <si>
    <t>Involuntry DSL-TBS</t>
  </si>
  <si>
    <t>Activation Month</t>
  </si>
  <si>
    <t>Count Decay Risk</t>
  </si>
  <si>
    <t>Value Bad Debt Risk</t>
  </si>
  <si>
    <t>Dec</t>
  </si>
  <si>
    <t>Jan</t>
  </si>
  <si>
    <t>Involuntry Voice-TBS</t>
  </si>
  <si>
    <t>B2C DSA</t>
  </si>
  <si>
    <t>B2CDCA</t>
  </si>
  <si>
    <t>DISK</t>
  </si>
  <si>
    <t>OR</t>
  </si>
  <si>
    <t>DISTRIBUTOR</t>
  </si>
  <si>
    <t>CSA</t>
  </si>
  <si>
    <t>DSA</t>
  </si>
  <si>
    <t>OverAll</t>
  </si>
  <si>
    <t>Following are the top Decay Contributing partners;</t>
  </si>
  <si>
    <t>Involuntry TBB/TBS #-Top Partners</t>
  </si>
  <si>
    <t>ZSM Name</t>
  </si>
  <si>
    <t>Partner Name</t>
  </si>
  <si>
    <t>Count M4 Risk</t>
  </si>
  <si>
    <t>Value M6 BD Risk</t>
  </si>
  <si>
    <t>TBB</t>
  </si>
  <si>
    <t>TBS</t>
  </si>
  <si>
    <t>MOB-M4'DECAY-NOV_CLOSURE Dashboard</t>
  </si>
  <si>
    <t>Partner</t>
  </si>
  <si>
    <t>Gross Activation</t>
  </si>
  <si>
    <t>Jun'M4</t>
  </si>
  <si>
    <t>Jul'M4</t>
  </si>
  <si>
    <t>Aug'M3</t>
  </si>
  <si>
    <t>Sep'M2</t>
  </si>
  <si>
    <t>Oct'M1</t>
  </si>
  <si>
    <t>Oct'18</t>
  </si>
  <si>
    <t>NOV'18</t>
  </si>
  <si>
    <t>Reporting Month</t>
  </si>
  <si>
    <t>Decay%</t>
  </si>
  <si>
    <t>Oct''M4</t>
  </si>
  <si>
    <t>Nov'18</t>
  </si>
  <si>
    <t>Decay% Excluding(M2M)</t>
  </si>
  <si>
    <t>DSL</t>
  </si>
  <si>
    <t>SDSA</t>
  </si>
  <si>
    <t>DEL</t>
  </si>
  <si>
    <t>Overall</t>
  </si>
  <si>
    <t>.</t>
  </si>
  <si>
    <t>First</t>
  </si>
  <si>
    <t>Middle</t>
  </si>
  <si>
    <t>Last</t>
  </si>
  <si>
    <t>Surendra</t>
  </si>
  <si>
    <t>Kumar</t>
  </si>
  <si>
    <t>Yadav</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</si>
</sst>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0"/>
      <color theme="1"/>
      <name val="Calibri"/>
      <family val="2"/>
      <scheme val="minor"/>
    </font>
  </fonts>
  <fills count="3">
    <fill>
      <patternFill patternType="none"/>
    </fill>
    <fill>
      <patternFill patternType="gray125"/>
    </fill>
    <fill>
      <patternFill patternType="solid">
        <fgColor theme="7" tint="0.39997558519241921"/>
        <bgColor indexed="64"/>
      </patternFill>
    </fill>
  </fills>
  <borders count="45">
    <border>
      <left/>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bottom/>
      <diagonal/>
    </border>
    <border>
      <left/>
      <right style="medium">
        <color indexed="64"/>
      </right>
      <top style="thin">
        <color indexed="64"/>
      </top>
      <bottom/>
      <diagonal/>
    </border>
    <border>
      <left/>
      <right style="thin">
        <color indexed="64"/>
      </right>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thin">
        <color indexed="64"/>
      </bottom>
      <diagonal/>
    </border>
  </borders>
  <cellStyleXfs count="1">
    <xf numFmtId="0" fontId="0" fillId="0" borderId="0"/>
  </cellStyleXfs>
  <cellXfs count="85">
    <xf numFmtId="0" fontId="0" fillId="0" borderId="0" xfId="0"/>
    <xf numFmtId="0" fontId="0" fillId="0" borderId="0" xfId="0" quotePrefix="1"/>
    <xf numFmtId="0" fontId="1" fillId="0" borderId="0" xfId="0" applyFont="1"/>
    <xf numFmtId="0" fontId="0" fillId="0" borderId="1" xfId="0" applyBorder="1"/>
    <xf numFmtId="0" fontId="0" fillId="0" borderId="2" xfId="0" applyBorder="1"/>
    <xf numFmtId="0" fontId="0" fillId="0" borderId="0" xfId="0" applyAlignment="1">
      <alignment wrapText="1"/>
    </xf>
    <xf numFmtId="0" fontId="0" fillId="0" borderId="3" xfId="0" applyBorder="1" applyAlignment="1"/>
    <xf numFmtId="0" fontId="2" fillId="0" borderId="0" xfId="0" applyFont="1"/>
    <xf numFmtId="0" fontId="2" fillId="0" borderId="4" xfId="0" applyFont="1" applyBorder="1"/>
    <xf numFmtId="0" fontId="2" fillId="0" borderId="5" xfId="0" applyFont="1" applyBorder="1"/>
    <xf numFmtId="0" fontId="2" fillId="0" borderId="6" xfId="0" applyFont="1" applyBorder="1"/>
    <xf numFmtId="15" fontId="0" fillId="0" borderId="0" xfId="0" applyNumberFormat="1"/>
    <xf numFmtId="15" fontId="1" fillId="0" borderId="0" xfId="0" applyNumberFormat="1" applyFont="1"/>
    <xf numFmtId="0" fontId="0" fillId="0" borderId="9" xfId="0" applyBorder="1"/>
    <xf numFmtId="0" fontId="0" fillId="0" borderId="10" xfId="0" applyBorder="1"/>
    <xf numFmtId="0" fontId="0" fillId="0" borderId="4" xfId="0" applyBorder="1"/>
    <xf numFmtId="0" fontId="0" fillId="0" borderId="5" xfId="0" applyBorder="1"/>
    <xf numFmtId="0" fontId="0" fillId="0" borderId="6" xfId="0" applyBorder="1"/>
    <xf numFmtId="0" fontId="0" fillId="0" borderId="25" xfId="0" applyBorder="1"/>
    <xf numFmtId="0" fontId="0" fillId="0" borderId="16" xfId="0" applyBorder="1"/>
    <xf numFmtId="0" fontId="0" fillId="0" borderId="26" xfId="0" applyBorder="1"/>
    <xf numFmtId="0" fontId="0" fillId="0" borderId="7" xfId="0" applyBorder="1"/>
    <xf numFmtId="0" fontId="0" fillId="0" borderId="8" xfId="0" applyBorder="1"/>
    <xf numFmtId="0" fontId="0" fillId="0" borderId="22" xfId="0" applyBorder="1"/>
    <xf numFmtId="0" fontId="0" fillId="0" borderId="0" xfId="0" applyBorder="1"/>
    <xf numFmtId="0" fontId="0" fillId="0" borderId="27" xfId="0" applyBorder="1"/>
    <xf numFmtId="0" fontId="0" fillId="0" borderId="28" xfId="0" applyBorder="1"/>
    <xf numFmtId="0" fontId="0" fillId="0" borderId="24" xfId="0" applyBorder="1"/>
    <xf numFmtId="0" fontId="0" fillId="0" borderId="23" xfId="0" applyBorder="1"/>
    <xf numFmtId="0" fontId="0" fillId="0" borderId="12" xfId="0"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6" xfId="0" applyBorder="1"/>
    <xf numFmtId="0" fontId="0" fillId="0" borderId="35" xfId="0" applyBorder="1"/>
    <xf numFmtId="0" fontId="0" fillId="0" borderId="34" xfId="0" applyBorder="1"/>
    <xf numFmtId="0" fontId="0" fillId="0" borderId="37" xfId="0" applyBorder="1"/>
    <xf numFmtId="0" fontId="0" fillId="0" borderId="39" xfId="0" applyBorder="1"/>
    <xf numFmtId="0" fontId="0" fillId="0" borderId="40" xfId="0" applyBorder="1"/>
    <xf numFmtId="0" fontId="0" fillId="0" borderId="41" xfId="0" applyBorder="1"/>
    <xf numFmtId="0" fontId="0" fillId="0" borderId="42" xfId="0" applyBorder="1"/>
    <xf numFmtId="0" fontId="0" fillId="0" borderId="43" xfId="0" applyBorder="1"/>
    <xf numFmtId="0" fontId="0" fillId="0" borderId="11" xfId="0" applyBorder="1"/>
    <xf numFmtId="0" fontId="0" fillId="0" borderId="0" xfId="0" applyFill="1" applyBorder="1"/>
    <xf numFmtId="0" fontId="1" fillId="0" borderId="11" xfId="0" applyFont="1" applyBorder="1"/>
    <xf numFmtId="0" fontId="0" fillId="0" borderId="36" xfId="0" applyFill="1" applyBorder="1"/>
    <xf numFmtId="0" fontId="0" fillId="0" borderId="29" xfId="0" applyFill="1" applyBorder="1"/>
    <xf numFmtId="0" fontId="0" fillId="0" borderId="11" xfId="0" applyFill="1" applyBorder="1"/>
    <xf numFmtId="0" fontId="0" fillId="0" borderId="4" xfId="0" applyFill="1" applyBorder="1"/>
    <xf numFmtId="0" fontId="0" fillId="0" borderId="5" xfId="0" applyFill="1" applyBorder="1"/>
    <xf numFmtId="0" fontId="0" fillId="0" borderId="6" xfId="0" applyFill="1" applyBorder="1"/>
    <xf numFmtId="0" fontId="0" fillId="0" borderId="4" xfId="0" applyBorder="1" applyAlignment="1">
      <alignment horizontal="center"/>
    </xf>
    <xf numFmtId="0" fontId="0" fillId="0" borderId="5" xfId="0"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0" fillId="0" borderId="6" xfId="0" applyBorder="1" applyAlignment="1">
      <alignment horizontal="center"/>
    </xf>
    <xf numFmtId="0" fontId="0" fillId="0" borderId="14" xfId="0" applyBorder="1" applyAlignment="1">
      <alignment horizontal="center"/>
    </xf>
    <xf numFmtId="0" fontId="0" fillId="0" borderId="44" xfId="0" applyBorder="1" applyAlignment="1">
      <alignment horizontal="center"/>
    </xf>
    <xf numFmtId="0" fontId="1" fillId="0" borderId="17" xfId="0" applyFont="1" applyBorder="1" applyAlignment="1">
      <alignment horizontal="center"/>
    </xf>
    <xf numFmtId="0" fontId="1" fillId="0" borderId="18" xfId="0" applyFont="1" applyBorder="1" applyAlignment="1">
      <alignment horizontal="center"/>
    </xf>
    <xf numFmtId="0" fontId="1" fillId="0" borderId="21" xfId="0" applyFont="1" applyBorder="1" applyAlignment="1">
      <alignment horizontal="center"/>
    </xf>
    <xf numFmtId="0" fontId="1" fillId="2" borderId="7" xfId="0" applyFont="1" applyFill="1" applyBorder="1" applyAlignment="1">
      <alignment vertical="center"/>
    </xf>
    <xf numFmtId="0" fontId="1" fillId="2" borderId="22" xfId="0" applyFont="1" applyFill="1" applyBorder="1" applyAlignment="1">
      <alignment vertical="center"/>
    </xf>
    <xf numFmtId="0" fontId="0" fillId="0" borderId="7" xfId="0" applyBorder="1" applyAlignment="1">
      <alignment horizontal="center"/>
    </xf>
    <xf numFmtId="0" fontId="0" fillId="0" borderId="23" xfId="0" applyBorder="1" applyAlignment="1">
      <alignment horizontal="center"/>
    </xf>
    <xf numFmtId="0" fontId="0" fillId="0" borderId="8" xfId="0" applyBorder="1" applyAlignment="1">
      <alignment horizontal="center"/>
    </xf>
    <xf numFmtId="0" fontId="1" fillId="2" borderId="17" xfId="0" applyFont="1" applyFill="1" applyBorder="1" applyAlignment="1">
      <alignment horizontal="center"/>
    </xf>
    <xf numFmtId="0" fontId="1" fillId="2" borderId="18" xfId="0" applyFont="1" applyFill="1" applyBorder="1" applyAlignment="1">
      <alignment horizontal="center"/>
    </xf>
    <xf numFmtId="0" fontId="1" fillId="2" borderId="19" xfId="0" applyFont="1" applyFill="1" applyBorder="1" applyAlignment="1">
      <alignment horizontal="center"/>
    </xf>
    <xf numFmtId="0" fontId="1" fillId="2" borderId="20" xfId="0" applyFont="1" applyFill="1" applyBorder="1" applyAlignment="1">
      <alignment horizontal="center"/>
    </xf>
    <xf numFmtId="0" fontId="1" fillId="2" borderId="21" xfId="0" applyFont="1" applyFill="1" applyBorder="1" applyAlignment="1">
      <alignment horizontal="center"/>
    </xf>
    <xf numFmtId="0" fontId="0" fillId="0" borderId="24" xfId="0" applyBorder="1" applyAlignment="1">
      <alignment horizontal="center"/>
    </xf>
    <xf numFmtId="0" fontId="0" fillId="0" borderId="9" xfId="0" applyBorder="1" applyAlignment="1">
      <alignment horizontal="center"/>
    </xf>
    <xf numFmtId="0" fontId="0" fillId="2" borderId="0" xfId="0" applyFill="1" applyAlignment="1">
      <alignment horizontal="center"/>
    </xf>
    <xf numFmtId="0" fontId="0" fillId="0" borderId="39" xfId="0" applyBorder="1" applyAlignment="1">
      <alignment horizontal="center" vertical="center"/>
    </xf>
    <xf numFmtId="0" fontId="0" fillId="0" borderId="38" xfId="0" applyBorder="1" applyAlignment="1">
      <alignment horizontal="center" vertical="center"/>
    </xf>
    <xf numFmtId="0" fontId="0" fillId="0" borderId="29" xfId="0" applyBorder="1" applyAlignment="1">
      <alignment horizontal="center" vertical="center"/>
    </xf>
    <xf numFmtId="0" fontId="0" fillId="0" borderId="15" xfId="0" applyBorder="1" applyAlignment="1">
      <alignment horizontal="center" vertical="center"/>
    </xf>
    <xf numFmtId="0" fontId="0" fillId="0" borderId="36" xfId="0" applyBorder="1" applyAlignment="1">
      <alignment vertical="center"/>
    </xf>
    <xf numFmtId="0" fontId="0" fillId="0" borderId="35" xfId="0" applyBorder="1" applyAlignment="1">
      <alignment vertical="center"/>
    </xf>
    <xf numFmtId="0" fontId="0" fillId="0" borderId="13" xfId="0" applyBorder="1" applyAlignment="1">
      <alignment horizontal="center"/>
    </xf>
    <xf numFmtId="0" fontId="0" fillId="0" borderId="15" xfId="0"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Sheet6"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6"/>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305"/>
  <sheetViews>
    <sheetView workbookViewId="0">
      <selection activeCell="I8" sqref="I8"/>
    </sheetView>
  </sheetViews>
  <sheetFormatPr defaultRowHeight="15" x14ac:dyDescent="0.25"/>
  <sheetData>
    <row r="1" spans="1:1" x14ac:dyDescent="0.25">
      <c r="A1" t="s">
        <v>0</v>
      </c>
    </row>
    <row r="2" spans="1:1" x14ac:dyDescent="0.25">
      <c r="A2" t="s">
        <v>1</v>
      </c>
    </row>
    <row r="3" spans="1:1" x14ac:dyDescent="0.25">
      <c r="A3" t="s">
        <v>2</v>
      </c>
    </row>
    <row r="4" spans="1:1" x14ac:dyDescent="0.25">
      <c r="A4" t="s">
        <v>3</v>
      </c>
    </row>
    <row r="5" spans="1:1" x14ac:dyDescent="0.25">
      <c r="A5" t="s">
        <v>4</v>
      </c>
    </row>
    <row r="7" spans="1:1" x14ac:dyDescent="0.25">
      <c r="A7" t="s">
        <v>5</v>
      </c>
    </row>
    <row r="8" spans="1:1" x14ac:dyDescent="0.25">
      <c r="A8" t="s">
        <v>6</v>
      </c>
    </row>
    <row r="9" spans="1:1" x14ac:dyDescent="0.25">
      <c r="A9" t="s">
        <v>7</v>
      </c>
    </row>
    <row r="11" spans="1:1" x14ac:dyDescent="0.25">
      <c r="A11" t="s">
        <v>8</v>
      </c>
    </row>
    <row r="13" spans="1:1" x14ac:dyDescent="0.25">
      <c r="A13" t="s">
        <v>9</v>
      </c>
    </row>
    <row r="14" spans="1:1" x14ac:dyDescent="0.25">
      <c r="A14" t="s">
        <v>10</v>
      </c>
    </row>
    <row r="15" spans="1:1" x14ac:dyDescent="0.25">
      <c r="A15" t="s">
        <v>11</v>
      </c>
    </row>
    <row r="16" spans="1:1" x14ac:dyDescent="0.25">
      <c r="A16" t="s">
        <v>12</v>
      </c>
    </row>
    <row r="17" spans="1:1" x14ac:dyDescent="0.25">
      <c r="A17" t="s">
        <v>13</v>
      </c>
    </row>
    <row r="18" spans="1:1" x14ac:dyDescent="0.25">
      <c r="A18" t="s">
        <v>14</v>
      </c>
    </row>
    <row r="19" spans="1:1" x14ac:dyDescent="0.25">
      <c r="A19" t="s">
        <v>15</v>
      </c>
    </row>
    <row r="20" spans="1:1" x14ac:dyDescent="0.25">
      <c r="A20" t="s">
        <v>16</v>
      </c>
    </row>
    <row r="21" spans="1:1" x14ac:dyDescent="0.25">
      <c r="A21" t="s">
        <v>17</v>
      </c>
    </row>
    <row r="22" spans="1:1" x14ac:dyDescent="0.25">
      <c r="A22" t="s">
        <v>18</v>
      </c>
    </row>
    <row r="23" spans="1:1" x14ac:dyDescent="0.25">
      <c r="A23" t="s">
        <v>19</v>
      </c>
    </row>
    <row r="24" spans="1:1" x14ac:dyDescent="0.25">
      <c r="A24" t="s">
        <v>20</v>
      </c>
    </row>
    <row r="25" spans="1:1" x14ac:dyDescent="0.25">
      <c r="A25" t="s">
        <v>21</v>
      </c>
    </row>
    <row r="28" spans="1:1" x14ac:dyDescent="0.25">
      <c r="A28" t="s">
        <v>22</v>
      </c>
    </row>
    <row r="29" spans="1:1" x14ac:dyDescent="0.25">
      <c r="A29" t="s">
        <v>23</v>
      </c>
    </row>
    <row r="32" spans="1:1" x14ac:dyDescent="0.25">
      <c r="A32" t="s">
        <v>24</v>
      </c>
    </row>
    <row r="33" spans="1:1" x14ac:dyDescent="0.25">
      <c r="A33" t="s">
        <v>25</v>
      </c>
    </row>
    <row r="34" spans="1:1" x14ac:dyDescent="0.25">
      <c r="A34" t="s">
        <v>26</v>
      </c>
    </row>
    <row r="35" spans="1:1" x14ac:dyDescent="0.25">
      <c r="A35" t="s">
        <v>27</v>
      </c>
    </row>
    <row r="37" spans="1:1" x14ac:dyDescent="0.25">
      <c r="A37" t="s">
        <v>28</v>
      </c>
    </row>
    <row r="38" spans="1:1" x14ac:dyDescent="0.25">
      <c r="A38" t="s">
        <v>29</v>
      </c>
    </row>
    <row r="39" spans="1:1" x14ac:dyDescent="0.25">
      <c r="A39" t="s">
        <v>30</v>
      </c>
    </row>
    <row r="40" spans="1:1" x14ac:dyDescent="0.25">
      <c r="A40" t="s">
        <v>31</v>
      </c>
    </row>
    <row r="42" spans="1:1" x14ac:dyDescent="0.25">
      <c r="A42" t="s">
        <v>32</v>
      </c>
    </row>
    <row r="43" spans="1:1" x14ac:dyDescent="0.25">
      <c r="A43" t="s">
        <v>33</v>
      </c>
    </row>
    <row r="44" spans="1:1" x14ac:dyDescent="0.25">
      <c r="A44" t="s">
        <v>34</v>
      </c>
    </row>
    <row r="45" spans="1:1" x14ac:dyDescent="0.25">
      <c r="A45" t="s">
        <v>35</v>
      </c>
    </row>
    <row r="46" spans="1:1" x14ac:dyDescent="0.25">
      <c r="A46" t="s">
        <v>36</v>
      </c>
    </row>
    <row r="47" spans="1:1" x14ac:dyDescent="0.25">
      <c r="A47" t="s">
        <v>37</v>
      </c>
    </row>
    <row r="53" spans="1:1" x14ac:dyDescent="0.25">
      <c r="A53" t="s">
        <v>38</v>
      </c>
    </row>
    <row r="54" spans="1:1" x14ac:dyDescent="0.25">
      <c r="A54" t="s">
        <v>39</v>
      </c>
    </row>
    <row r="55" spans="1:1" x14ac:dyDescent="0.25">
      <c r="A55" t="s">
        <v>40</v>
      </c>
    </row>
    <row r="56" spans="1:1" x14ac:dyDescent="0.25">
      <c r="A56" t="s">
        <v>41</v>
      </c>
    </row>
    <row r="57" spans="1:1" x14ac:dyDescent="0.25">
      <c r="A57" t="s">
        <v>42</v>
      </c>
    </row>
    <row r="58" spans="1:1" x14ac:dyDescent="0.25">
      <c r="A58" t="s">
        <v>43</v>
      </c>
    </row>
    <row r="59" spans="1:1" x14ac:dyDescent="0.25">
      <c r="A59" t="s">
        <v>44</v>
      </c>
    </row>
    <row r="60" spans="1:1" x14ac:dyDescent="0.25">
      <c r="A60" t="s">
        <v>45</v>
      </c>
    </row>
    <row r="61" spans="1:1" x14ac:dyDescent="0.25">
      <c r="A61" t="s">
        <v>46</v>
      </c>
    </row>
    <row r="62" spans="1:1" x14ac:dyDescent="0.25">
      <c r="A62" t="s">
        <v>47</v>
      </c>
    </row>
    <row r="63" spans="1:1" x14ac:dyDescent="0.25">
      <c r="A63" t="s">
        <v>48</v>
      </c>
    </row>
    <row r="64" spans="1:1" x14ac:dyDescent="0.25">
      <c r="A64" t="s">
        <v>49</v>
      </c>
    </row>
    <row r="65" spans="1:1" x14ac:dyDescent="0.25">
      <c r="A65" t="s">
        <v>50</v>
      </c>
    </row>
    <row r="66" spans="1:1" x14ac:dyDescent="0.25">
      <c r="A66" t="s">
        <v>51</v>
      </c>
    </row>
    <row r="67" spans="1:1" x14ac:dyDescent="0.25">
      <c r="A67" t="s">
        <v>52</v>
      </c>
    </row>
    <row r="68" spans="1:1" x14ac:dyDescent="0.25">
      <c r="A68" t="s">
        <v>53</v>
      </c>
    </row>
    <row r="69" spans="1:1" x14ac:dyDescent="0.25">
      <c r="A69" t="s">
        <v>54</v>
      </c>
    </row>
    <row r="70" spans="1:1" x14ac:dyDescent="0.25">
      <c r="A70" t="s">
        <v>55</v>
      </c>
    </row>
    <row r="71" spans="1:1" x14ac:dyDescent="0.25">
      <c r="A71" t="s">
        <v>56</v>
      </c>
    </row>
    <row r="72" spans="1:1" x14ac:dyDescent="0.25">
      <c r="A72" t="s">
        <v>21</v>
      </c>
    </row>
    <row r="74" spans="1:1" x14ac:dyDescent="0.25">
      <c r="A74" t="s">
        <v>57</v>
      </c>
    </row>
    <row r="78" spans="1:1" x14ac:dyDescent="0.25">
      <c r="A78" t="s">
        <v>58</v>
      </c>
    </row>
    <row r="79" spans="1:1" x14ac:dyDescent="0.25">
      <c r="A79" t="s">
        <v>59</v>
      </c>
    </row>
    <row r="80" spans="1:1" x14ac:dyDescent="0.25">
      <c r="A80" t="s">
        <v>60</v>
      </c>
    </row>
    <row r="81" spans="1:1" x14ac:dyDescent="0.25">
      <c r="A81" t="s">
        <v>61</v>
      </c>
    </row>
    <row r="82" spans="1:1" x14ac:dyDescent="0.25">
      <c r="A82" t="s">
        <v>62</v>
      </c>
    </row>
    <row r="84" spans="1:1" x14ac:dyDescent="0.25">
      <c r="A84" t="s">
        <v>63</v>
      </c>
    </row>
    <row r="85" spans="1:1" x14ac:dyDescent="0.25">
      <c r="A85" t="s">
        <v>64</v>
      </c>
    </row>
    <row r="86" spans="1:1" x14ac:dyDescent="0.25">
      <c r="A86" t="s">
        <v>65</v>
      </c>
    </row>
    <row r="87" spans="1:1" x14ac:dyDescent="0.25">
      <c r="A87" t="s">
        <v>66</v>
      </c>
    </row>
    <row r="88" spans="1:1" x14ac:dyDescent="0.25">
      <c r="A88" t="s">
        <v>67</v>
      </c>
    </row>
    <row r="89" spans="1:1" x14ac:dyDescent="0.25">
      <c r="A89" t="s">
        <v>68</v>
      </c>
    </row>
    <row r="90" spans="1:1" x14ac:dyDescent="0.25">
      <c r="A90" t="s">
        <v>69</v>
      </c>
    </row>
    <row r="91" spans="1:1" x14ac:dyDescent="0.25">
      <c r="A91" t="s">
        <v>70</v>
      </c>
    </row>
    <row r="92" spans="1:1" x14ac:dyDescent="0.25">
      <c r="A92" t="s">
        <v>71</v>
      </c>
    </row>
    <row r="93" spans="1:1" x14ac:dyDescent="0.25">
      <c r="A93" t="s">
        <v>72</v>
      </c>
    </row>
    <row r="94" spans="1:1" x14ac:dyDescent="0.25">
      <c r="A94" t="s">
        <v>73</v>
      </c>
    </row>
    <row r="95" spans="1:1" x14ac:dyDescent="0.25">
      <c r="A95" t="s">
        <v>74</v>
      </c>
    </row>
    <row r="96" spans="1:1" x14ac:dyDescent="0.25">
      <c r="A96" t="s">
        <v>75</v>
      </c>
    </row>
    <row r="97" spans="1:1" x14ac:dyDescent="0.25">
      <c r="A97" t="s">
        <v>76</v>
      </c>
    </row>
    <row r="98" spans="1:1" x14ac:dyDescent="0.25">
      <c r="A98" t="s">
        <v>77</v>
      </c>
    </row>
    <row r="99" spans="1:1" x14ac:dyDescent="0.25">
      <c r="A99" t="s">
        <v>78</v>
      </c>
    </row>
    <row r="100" spans="1:1" x14ac:dyDescent="0.25">
      <c r="A100" t="s">
        <v>79</v>
      </c>
    </row>
    <row r="101" spans="1:1" x14ac:dyDescent="0.25">
      <c r="A101" t="s">
        <v>80</v>
      </c>
    </row>
    <row r="102" spans="1:1" x14ac:dyDescent="0.25">
      <c r="A102" t="s">
        <v>81</v>
      </c>
    </row>
    <row r="103" spans="1:1" x14ac:dyDescent="0.25">
      <c r="A103" t="s">
        <v>82</v>
      </c>
    </row>
    <row r="104" spans="1:1" x14ac:dyDescent="0.25">
      <c r="A104" t="s">
        <v>83</v>
      </c>
    </row>
    <row r="105" spans="1:1" x14ac:dyDescent="0.25">
      <c r="A105" t="s">
        <v>84</v>
      </c>
    </row>
    <row r="106" spans="1:1" x14ac:dyDescent="0.25">
      <c r="A106" t="s">
        <v>85</v>
      </c>
    </row>
    <row r="107" spans="1:1" x14ac:dyDescent="0.25">
      <c r="A107" t="s">
        <v>86</v>
      </c>
    </row>
    <row r="108" spans="1:1" x14ac:dyDescent="0.25">
      <c r="A108" t="s">
        <v>87</v>
      </c>
    </row>
    <row r="109" spans="1:1" x14ac:dyDescent="0.25">
      <c r="A109" t="s">
        <v>88</v>
      </c>
    </row>
    <row r="110" spans="1:1" x14ac:dyDescent="0.25">
      <c r="A110" t="s">
        <v>89</v>
      </c>
    </row>
    <row r="111" spans="1:1" x14ac:dyDescent="0.25">
      <c r="A111" t="s">
        <v>90</v>
      </c>
    </row>
    <row r="112" spans="1:1" x14ac:dyDescent="0.25">
      <c r="A112" t="s">
        <v>91</v>
      </c>
    </row>
    <row r="113" spans="1:1" x14ac:dyDescent="0.25">
      <c r="A113" t="s">
        <v>92</v>
      </c>
    </row>
    <row r="114" spans="1:1" x14ac:dyDescent="0.25">
      <c r="A114" t="s">
        <v>93</v>
      </c>
    </row>
    <row r="115" spans="1:1" x14ac:dyDescent="0.25">
      <c r="A115" t="s">
        <v>94</v>
      </c>
    </row>
    <row r="116" spans="1:1" x14ac:dyDescent="0.25">
      <c r="A116" t="s">
        <v>95</v>
      </c>
    </row>
    <row r="117" spans="1:1" x14ac:dyDescent="0.25">
      <c r="A117" t="s">
        <v>96</v>
      </c>
    </row>
    <row r="118" spans="1:1" x14ac:dyDescent="0.25">
      <c r="A118" t="s">
        <v>97</v>
      </c>
    </row>
    <row r="119" spans="1:1" x14ac:dyDescent="0.25">
      <c r="A119" t="s">
        <v>98</v>
      </c>
    </row>
    <row r="120" spans="1:1" x14ac:dyDescent="0.25">
      <c r="A120" t="s">
        <v>99</v>
      </c>
    </row>
    <row r="121" spans="1:1" x14ac:dyDescent="0.25">
      <c r="A121" t="s">
        <v>100</v>
      </c>
    </row>
    <row r="122" spans="1:1" x14ac:dyDescent="0.25">
      <c r="A122" t="s">
        <v>101</v>
      </c>
    </row>
    <row r="123" spans="1:1" x14ac:dyDescent="0.25">
      <c r="A123" t="s">
        <v>102</v>
      </c>
    </row>
    <row r="124" spans="1:1" x14ac:dyDescent="0.25">
      <c r="A124" t="s">
        <v>103</v>
      </c>
    </row>
    <row r="125" spans="1:1" x14ac:dyDescent="0.25">
      <c r="A125" t="s">
        <v>104</v>
      </c>
    </row>
    <row r="127" spans="1:1" x14ac:dyDescent="0.25">
      <c r="A127" t="s">
        <v>105</v>
      </c>
    </row>
    <row r="128" spans="1:1" x14ac:dyDescent="0.25">
      <c r="A128" t="s">
        <v>106</v>
      </c>
    </row>
    <row r="130" spans="1:1" x14ac:dyDescent="0.25">
      <c r="A130" t="s">
        <v>107</v>
      </c>
    </row>
    <row r="131" spans="1:1" x14ac:dyDescent="0.25">
      <c r="A131" t="s">
        <v>108</v>
      </c>
    </row>
    <row r="132" spans="1:1" x14ac:dyDescent="0.25">
      <c r="A132" t="s">
        <v>109</v>
      </c>
    </row>
    <row r="133" spans="1:1" x14ac:dyDescent="0.25">
      <c r="A133" t="s">
        <v>110</v>
      </c>
    </row>
    <row r="135" spans="1:1" x14ac:dyDescent="0.25">
      <c r="A135" t="s">
        <v>111</v>
      </c>
    </row>
    <row r="136" spans="1:1" x14ac:dyDescent="0.25">
      <c r="A136" t="s">
        <v>112</v>
      </c>
    </row>
    <row r="137" spans="1:1" x14ac:dyDescent="0.25">
      <c r="A137" t="s">
        <v>113</v>
      </c>
    </row>
    <row r="138" spans="1:1" x14ac:dyDescent="0.25">
      <c r="A138" t="s">
        <v>114</v>
      </c>
    </row>
    <row r="139" spans="1:1" x14ac:dyDescent="0.25">
      <c r="A139" t="s">
        <v>115</v>
      </c>
    </row>
    <row r="140" spans="1:1" x14ac:dyDescent="0.25">
      <c r="A140" t="s">
        <v>116</v>
      </c>
    </row>
    <row r="142" spans="1:1" x14ac:dyDescent="0.25">
      <c r="A142" t="s">
        <v>117</v>
      </c>
    </row>
    <row r="143" spans="1:1" x14ac:dyDescent="0.25">
      <c r="A143" t="s">
        <v>118</v>
      </c>
    </row>
    <row r="144" spans="1:1" x14ac:dyDescent="0.25">
      <c r="A144" t="s">
        <v>119</v>
      </c>
    </row>
    <row r="146" spans="1:1" x14ac:dyDescent="0.25">
      <c r="A146" t="s">
        <v>120</v>
      </c>
    </row>
    <row r="147" spans="1:1" x14ac:dyDescent="0.25">
      <c r="A147" t="s">
        <v>121</v>
      </c>
    </row>
    <row r="148" spans="1:1" x14ac:dyDescent="0.25">
      <c r="A148" t="s">
        <v>122</v>
      </c>
    </row>
    <row r="149" spans="1:1" x14ac:dyDescent="0.25">
      <c r="A149" t="s">
        <v>123</v>
      </c>
    </row>
    <row r="150" spans="1:1" x14ac:dyDescent="0.25">
      <c r="A150" t="s">
        <v>124</v>
      </c>
    </row>
    <row r="151" spans="1:1" x14ac:dyDescent="0.25">
      <c r="A151" t="s">
        <v>125</v>
      </c>
    </row>
    <row r="152" spans="1:1" x14ac:dyDescent="0.25">
      <c r="A152" t="s">
        <v>126</v>
      </c>
    </row>
    <row r="153" spans="1:1" x14ac:dyDescent="0.25">
      <c r="A153" t="s">
        <v>127</v>
      </c>
    </row>
    <row r="154" spans="1:1" x14ac:dyDescent="0.25">
      <c r="A154" t="s">
        <v>128</v>
      </c>
    </row>
    <row r="157" spans="1:1" x14ac:dyDescent="0.25">
      <c r="A157" t="s">
        <v>129</v>
      </c>
    </row>
    <row r="158" spans="1:1" x14ac:dyDescent="0.25">
      <c r="A158" t="s">
        <v>130</v>
      </c>
    </row>
    <row r="159" spans="1:1" x14ac:dyDescent="0.25">
      <c r="A159" t="s">
        <v>131</v>
      </c>
    </row>
    <row r="160" spans="1:1" x14ac:dyDescent="0.25">
      <c r="A160" t="s">
        <v>132</v>
      </c>
    </row>
    <row r="161" spans="1:1" x14ac:dyDescent="0.25">
      <c r="A161" t="s">
        <v>133</v>
      </c>
    </row>
    <row r="162" spans="1:1" x14ac:dyDescent="0.25">
      <c r="A162" t="s">
        <v>134</v>
      </c>
    </row>
    <row r="163" spans="1:1" x14ac:dyDescent="0.25">
      <c r="A163" t="s">
        <v>135</v>
      </c>
    </row>
    <row r="164" spans="1:1" x14ac:dyDescent="0.25">
      <c r="A164" t="s">
        <v>136</v>
      </c>
    </row>
    <row r="165" spans="1:1" x14ac:dyDescent="0.25">
      <c r="A165" t="s">
        <v>137</v>
      </c>
    </row>
    <row r="166" spans="1:1" x14ac:dyDescent="0.25">
      <c r="A166" t="s">
        <v>138</v>
      </c>
    </row>
    <row r="167" spans="1:1" x14ac:dyDescent="0.25">
      <c r="A167" t="s">
        <v>139</v>
      </c>
    </row>
    <row r="169" spans="1:1" x14ac:dyDescent="0.25">
      <c r="A169" t="s">
        <v>140</v>
      </c>
    </row>
    <row r="170" spans="1:1" x14ac:dyDescent="0.25">
      <c r="A170" t="s">
        <v>141</v>
      </c>
    </row>
    <row r="172" spans="1:1" x14ac:dyDescent="0.25">
      <c r="A172" t="s">
        <v>142</v>
      </c>
    </row>
    <row r="173" spans="1:1" x14ac:dyDescent="0.25">
      <c r="A173" t="s">
        <v>143</v>
      </c>
    </row>
    <row r="174" spans="1:1" x14ac:dyDescent="0.25">
      <c r="A174" t="s">
        <v>144</v>
      </c>
    </row>
    <row r="176" spans="1:1" x14ac:dyDescent="0.25">
      <c r="A176" t="s">
        <v>145</v>
      </c>
    </row>
    <row r="177" spans="1:1" x14ac:dyDescent="0.25">
      <c r="A177" t="s">
        <v>146</v>
      </c>
    </row>
    <row r="178" spans="1:1" x14ac:dyDescent="0.25">
      <c r="A178" t="s">
        <v>147</v>
      </c>
    </row>
    <row r="179" spans="1:1" x14ac:dyDescent="0.25">
      <c r="A179" t="s">
        <v>148</v>
      </c>
    </row>
    <row r="180" spans="1:1" x14ac:dyDescent="0.25">
      <c r="A180" t="s">
        <v>149</v>
      </c>
    </row>
    <row r="181" spans="1:1" x14ac:dyDescent="0.25">
      <c r="A181" t="s">
        <v>150</v>
      </c>
    </row>
    <row r="182" spans="1:1" x14ac:dyDescent="0.25">
      <c r="A182" t="s">
        <v>151</v>
      </c>
    </row>
    <row r="183" spans="1:1" x14ac:dyDescent="0.25">
      <c r="A183" t="s">
        <v>152</v>
      </c>
    </row>
    <row r="184" spans="1:1" x14ac:dyDescent="0.25">
      <c r="A184" t="s">
        <v>153</v>
      </c>
    </row>
    <row r="185" spans="1:1" x14ac:dyDescent="0.25">
      <c r="A185" t="s">
        <v>154</v>
      </c>
    </row>
    <row r="188" spans="1:1" x14ac:dyDescent="0.25">
      <c r="A188" t="s">
        <v>155</v>
      </c>
    </row>
    <row r="189" spans="1:1" x14ac:dyDescent="0.25">
      <c r="A189" t="s">
        <v>156</v>
      </c>
    </row>
    <row r="190" spans="1:1" x14ac:dyDescent="0.25">
      <c r="A190" t="s">
        <v>157</v>
      </c>
    </row>
    <row r="191" spans="1:1" x14ac:dyDescent="0.25">
      <c r="A191" t="s">
        <v>158</v>
      </c>
    </row>
    <row r="192" spans="1:1" x14ac:dyDescent="0.25">
      <c r="A192" t="s">
        <v>159</v>
      </c>
    </row>
    <row r="193" spans="1:1" x14ac:dyDescent="0.25">
      <c r="A193" t="s">
        <v>160</v>
      </c>
    </row>
    <row r="194" spans="1:1" x14ac:dyDescent="0.25">
      <c r="A194" t="s">
        <v>161</v>
      </c>
    </row>
    <row r="195" spans="1:1" x14ac:dyDescent="0.25">
      <c r="A195" t="s">
        <v>162</v>
      </c>
    </row>
    <row r="196" spans="1:1" x14ac:dyDescent="0.25">
      <c r="A196" t="s">
        <v>163</v>
      </c>
    </row>
    <row r="197" spans="1:1" x14ac:dyDescent="0.25">
      <c r="A197" t="s">
        <v>164</v>
      </c>
    </row>
    <row r="198" spans="1:1" x14ac:dyDescent="0.25">
      <c r="A198" t="s">
        <v>165</v>
      </c>
    </row>
    <row r="199" spans="1:1" x14ac:dyDescent="0.25">
      <c r="A199" t="s">
        <v>166</v>
      </c>
    </row>
    <row r="200" spans="1:1" x14ac:dyDescent="0.25">
      <c r="A200" t="s">
        <v>167</v>
      </c>
    </row>
    <row r="201" spans="1:1" x14ac:dyDescent="0.25">
      <c r="A201" t="s">
        <v>168</v>
      </c>
    </row>
    <row r="202" spans="1:1" x14ac:dyDescent="0.25">
      <c r="A202" t="s">
        <v>21</v>
      </c>
    </row>
    <row r="206" spans="1:1" x14ac:dyDescent="0.25">
      <c r="A206" t="s">
        <v>169</v>
      </c>
    </row>
    <row r="207" spans="1:1" x14ac:dyDescent="0.25">
      <c r="A207" t="s">
        <v>170</v>
      </c>
    </row>
    <row r="208" spans="1:1" x14ac:dyDescent="0.25">
      <c r="A208" t="s">
        <v>171</v>
      </c>
    </row>
    <row r="209" spans="1:1" x14ac:dyDescent="0.25">
      <c r="A209" t="s">
        <v>172</v>
      </c>
    </row>
    <row r="210" spans="1:1" x14ac:dyDescent="0.25">
      <c r="A210" t="s">
        <v>173</v>
      </c>
    </row>
    <row r="211" spans="1:1" x14ac:dyDescent="0.25">
      <c r="A211" t="s">
        <v>174</v>
      </c>
    </row>
    <row r="212" spans="1:1" x14ac:dyDescent="0.25">
      <c r="A212" t="s">
        <v>175</v>
      </c>
    </row>
    <row r="213" spans="1:1" x14ac:dyDescent="0.25">
      <c r="A213" t="s">
        <v>176</v>
      </c>
    </row>
    <row r="214" spans="1:1" x14ac:dyDescent="0.25">
      <c r="A214" t="s">
        <v>177</v>
      </c>
    </row>
    <row r="215" spans="1:1" x14ac:dyDescent="0.25">
      <c r="A215" t="s">
        <v>178</v>
      </c>
    </row>
    <row r="216" spans="1:1" x14ac:dyDescent="0.25">
      <c r="A216" t="s">
        <v>179</v>
      </c>
    </row>
    <row r="217" spans="1:1" x14ac:dyDescent="0.25">
      <c r="A217" t="s">
        <v>180</v>
      </c>
    </row>
    <row r="218" spans="1:1" x14ac:dyDescent="0.25">
      <c r="A218" t="s">
        <v>181</v>
      </c>
    </row>
    <row r="219" spans="1:1" x14ac:dyDescent="0.25">
      <c r="A219" t="s">
        <v>182</v>
      </c>
    </row>
    <row r="220" spans="1:1" x14ac:dyDescent="0.25">
      <c r="A220" t="s">
        <v>183</v>
      </c>
    </row>
    <row r="221" spans="1:1" x14ac:dyDescent="0.25">
      <c r="A221" t="s">
        <v>184</v>
      </c>
    </row>
    <row r="222" spans="1:1" x14ac:dyDescent="0.25">
      <c r="A222" t="s">
        <v>185</v>
      </c>
    </row>
    <row r="223" spans="1:1" x14ac:dyDescent="0.25">
      <c r="A223" t="s">
        <v>186</v>
      </c>
    </row>
    <row r="224" spans="1:1" x14ac:dyDescent="0.25">
      <c r="A224" t="s">
        <v>187</v>
      </c>
    </row>
    <row r="225" spans="1:1" x14ac:dyDescent="0.25">
      <c r="A225" t="s">
        <v>188</v>
      </c>
    </row>
    <row r="226" spans="1:1" x14ac:dyDescent="0.25">
      <c r="A226" t="s">
        <v>189</v>
      </c>
    </row>
    <row r="227" spans="1:1" x14ac:dyDescent="0.25">
      <c r="A227" t="s">
        <v>190</v>
      </c>
    </row>
    <row r="228" spans="1:1" x14ac:dyDescent="0.25">
      <c r="A228" t="s">
        <v>191</v>
      </c>
    </row>
    <row r="229" spans="1:1" x14ac:dyDescent="0.25">
      <c r="A229" t="s">
        <v>192</v>
      </c>
    </row>
    <row r="230" spans="1:1" x14ac:dyDescent="0.25">
      <c r="A230" t="s">
        <v>193</v>
      </c>
    </row>
    <row r="231" spans="1:1" x14ac:dyDescent="0.25">
      <c r="A231" t="s">
        <v>194</v>
      </c>
    </row>
    <row r="232" spans="1:1" x14ac:dyDescent="0.25">
      <c r="A232" t="s">
        <v>195</v>
      </c>
    </row>
    <row r="233" spans="1:1" x14ac:dyDescent="0.25">
      <c r="A233" t="s">
        <v>196</v>
      </c>
    </row>
    <row r="234" spans="1:1" x14ac:dyDescent="0.25">
      <c r="A234" t="s">
        <v>197</v>
      </c>
    </row>
    <row r="235" spans="1:1" x14ac:dyDescent="0.25">
      <c r="A235" t="s">
        <v>198</v>
      </c>
    </row>
    <row r="236" spans="1:1" x14ac:dyDescent="0.25">
      <c r="A236" t="s">
        <v>199</v>
      </c>
    </row>
    <row r="237" spans="1:1" x14ac:dyDescent="0.25">
      <c r="A237" t="s">
        <v>200</v>
      </c>
    </row>
    <row r="238" spans="1:1" x14ac:dyDescent="0.25">
      <c r="A238" t="s">
        <v>201</v>
      </c>
    </row>
    <row r="239" spans="1:1" x14ac:dyDescent="0.25">
      <c r="A239" t="s">
        <v>202</v>
      </c>
    </row>
    <row r="242" spans="1:1" x14ac:dyDescent="0.25">
      <c r="A242" t="s">
        <v>203</v>
      </c>
    </row>
    <row r="243" spans="1:1" x14ac:dyDescent="0.25">
      <c r="A243" t="s">
        <v>204</v>
      </c>
    </row>
    <row r="244" spans="1:1" x14ac:dyDescent="0.25">
      <c r="A244" t="s">
        <v>205</v>
      </c>
    </row>
    <row r="245" spans="1:1" x14ac:dyDescent="0.25">
      <c r="A245" t="s">
        <v>206</v>
      </c>
    </row>
    <row r="246" spans="1:1" x14ac:dyDescent="0.25">
      <c r="A246" t="s">
        <v>207</v>
      </c>
    </row>
    <row r="247" spans="1:1" x14ac:dyDescent="0.25">
      <c r="A247" t="s">
        <v>208</v>
      </c>
    </row>
    <row r="248" spans="1:1" x14ac:dyDescent="0.25">
      <c r="A248" t="s">
        <v>209</v>
      </c>
    </row>
    <row r="249" spans="1:1" x14ac:dyDescent="0.25">
      <c r="A249" t="s">
        <v>210</v>
      </c>
    </row>
    <row r="250" spans="1:1" x14ac:dyDescent="0.25">
      <c r="A250" t="s">
        <v>211</v>
      </c>
    </row>
    <row r="251" spans="1:1" x14ac:dyDescent="0.25">
      <c r="A251" t="s">
        <v>212</v>
      </c>
    </row>
    <row r="252" spans="1:1" x14ac:dyDescent="0.25">
      <c r="A252" t="s">
        <v>213</v>
      </c>
    </row>
    <row r="253" spans="1:1" x14ac:dyDescent="0.25">
      <c r="A253" t="s">
        <v>214</v>
      </c>
    </row>
    <row r="254" spans="1:1" x14ac:dyDescent="0.25">
      <c r="A254" t="s">
        <v>21</v>
      </c>
    </row>
    <row r="255" spans="1:1" x14ac:dyDescent="0.25">
      <c r="A255" t="s">
        <v>215</v>
      </c>
    </row>
    <row r="256" spans="1:1" x14ac:dyDescent="0.25">
      <c r="A256" t="s">
        <v>216</v>
      </c>
    </row>
    <row r="257" spans="1:1" x14ac:dyDescent="0.25">
      <c r="A257" t="s">
        <v>217</v>
      </c>
    </row>
    <row r="258" spans="1:1" x14ac:dyDescent="0.25">
      <c r="A258" t="s">
        <v>210</v>
      </c>
    </row>
    <row r="259" spans="1:1" x14ac:dyDescent="0.25">
      <c r="A259" t="s">
        <v>211</v>
      </c>
    </row>
    <row r="260" spans="1:1" x14ac:dyDescent="0.25">
      <c r="A260" t="s">
        <v>218</v>
      </c>
    </row>
    <row r="261" spans="1:1" x14ac:dyDescent="0.25">
      <c r="A261" t="s">
        <v>213</v>
      </c>
    </row>
    <row r="262" spans="1:1" x14ac:dyDescent="0.25">
      <c r="A262" t="s">
        <v>214</v>
      </c>
    </row>
    <row r="263" spans="1:1" x14ac:dyDescent="0.25">
      <c r="A263" t="s">
        <v>21</v>
      </c>
    </row>
    <row r="265" spans="1:1" x14ac:dyDescent="0.25">
      <c r="A265" t="s">
        <v>219</v>
      </c>
    </row>
    <row r="266" spans="1:1" x14ac:dyDescent="0.25">
      <c r="A266" t="s">
        <v>156</v>
      </c>
    </row>
    <row r="267" spans="1:1" x14ac:dyDescent="0.25">
      <c r="A267" t="s">
        <v>220</v>
      </c>
    </row>
    <row r="268" spans="1:1" x14ac:dyDescent="0.25">
      <c r="A268" t="s">
        <v>221</v>
      </c>
    </row>
    <row r="269" spans="1:1" x14ac:dyDescent="0.25">
      <c r="A269" t="s">
        <v>222</v>
      </c>
    </row>
    <row r="270" spans="1:1" x14ac:dyDescent="0.25">
      <c r="A270" t="s">
        <v>223</v>
      </c>
    </row>
    <row r="271" spans="1:1" x14ac:dyDescent="0.25">
      <c r="A271" t="s">
        <v>224</v>
      </c>
    </row>
    <row r="272" spans="1:1" x14ac:dyDescent="0.25">
      <c r="A272" t="s">
        <v>225</v>
      </c>
    </row>
    <row r="273" spans="1:1" x14ac:dyDescent="0.25">
      <c r="A273" t="s">
        <v>226</v>
      </c>
    </row>
    <row r="274" spans="1:1" x14ac:dyDescent="0.25">
      <c r="A274" t="s">
        <v>227</v>
      </c>
    </row>
    <row r="275" spans="1:1" x14ac:dyDescent="0.25">
      <c r="A275" t="s">
        <v>228</v>
      </c>
    </row>
    <row r="276" spans="1:1" x14ac:dyDescent="0.25">
      <c r="A276" t="s">
        <v>229</v>
      </c>
    </row>
    <row r="277" spans="1:1" x14ac:dyDescent="0.25">
      <c r="A277" t="s">
        <v>230</v>
      </c>
    </row>
    <row r="278" spans="1:1" x14ac:dyDescent="0.25">
      <c r="A278" t="s">
        <v>231</v>
      </c>
    </row>
    <row r="279" spans="1:1" x14ac:dyDescent="0.25">
      <c r="A279" t="s">
        <v>168</v>
      </c>
    </row>
    <row r="280" spans="1:1" x14ac:dyDescent="0.25">
      <c r="A280" t="s">
        <v>21</v>
      </c>
    </row>
    <row r="282" spans="1:1" x14ac:dyDescent="0.25">
      <c r="A282" t="s">
        <v>232</v>
      </c>
    </row>
    <row r="283" spans="1:1" x14ac:dyDescent="0.25">
      <c r="A283" t="s">
        <v>233</v>
      </c>
    </row>
    <row r="284" spans="1:1" x14ac:dyDescent="0.25">
      <c r="A284" t="s">
        <v>234</v>
      </c>
    </row>
    <row r="285" spans="1:1" x14ac:dyDescent="0.25">
      <c r="A285" t="s">
        <v>235</v>
      </c>
    </row>
    <row r="286" spans="1:1" x14ac:dyDescent="0.25">
      <c r="A286" t="s">
        <v>168</v>
      </c>
    </row>
    <row r="287" spans="1:1" x14ac:dyDescent="0.25">
      <c r="A287" t="s">
        <v>236</v>
      </c>
    </row>
    <row r="288" spans="1:1" x14ac:dyDescent="0.25">
      <c r="A288" t="s">
        <v>237</v>
      </c>
    </row>
    <row r="289" spans="1:1" x14ac:dyDescent="0.25">
      <c r="A289" t="s">
        <v>238</v>
      </c>
    </row>
    <row r="290" spans="1:1" x14ac:dyDescent="0.25">
      <c r="A290" t="s">
        <v>239</v>
      </c>
    </row>
    <row r="291" spans="1:1" x14ac:dyDescent="0.25">
      <c r="A291" t="s">
        <v>240</v>
      </c>
    </row>
    <row r="292" spans="1:1" x14ac:dyDescent="0.25">
      <c r="A292" t="s">
        <v>241</v>
      </c>
    </row>
    <row r="293" spans="1:1" x14ac:dyDescent="0.25">
      <c r="A293" t="s">
        <v>242</v>
      </c>
    </row>
    <row r="294" spans="1:1" x14ac:dyDescent="0.25">
      <c r="A294" t="s">
        <v>243</v>
      </c>
    </row>
    <row r="295" spans="1:1" x14ac:dyDescent="0.25">
      <c r="A295" t="s">
        <v>244</v>
      </c>
    </row>
    <row r="296" spans="1:1" x14ac:dyDescent="0.25">
      <c r="A296" t="s">
        <v>245</v>
      </c>
    </row>
    <row r="297" spans="1:1" x14ac:dyDescent="0.25">
      <c r="A297" t="s">
        <v>246</v>
      </c>
    </row>
    <row r="298" spans="1:1" x14ac:dyDescent="0.25">
      <c r="A298" t="s">
        <v>168</v>
      </c>
    </row>
    <row r="299" spans="1:1" x14ac:dyDescent="0.25">
      <c r="A299" t="s">
        <v>21</v>
      </c>
    </row>
    <row r="301" spans="1:1" x14ac:dyDescent="0.25">
      <c r="A301" t="s">
        <v>247</v>
      </c>
    </row>
    <row r="302" spans="1:1" x14ac:dyDescent="0.25">
      <c r="A302" t="s">
        <v>248</v>
      </c>
    </row>
    <row r="303" spans="1:1" x14ac:dyDescent="0.25">
      <c r="A303" t="s">
        <v>249</v>
      </c>
    </row>
    <row r="304" spans="1:1" x14ac:dyDescent="0.25">
      <c r="A304" t="s">
        <v>250</v>
      </c>
    </row>
    <row r="305" spans="1:1" x14ac:dyDescent="0.25">
      <c r="A305" t="s">
        <v>251</v>
      </c>
    </row>
    <row r="306" spans="1:1" x14ac:dyDescent="0.25">
      <c r="A306" t="s">
        <v>21</v>
      </c>
    </row>
    <row r="308" spans="1:1" x14ac:dyDescent="0.25">
      <c r="A308" t="s">
        <v>247</v>
      </c>
    </row>
    <row r="309" spans="1:1" x14ac:dyDescent="0.25">
      <c r="A309" t="s">
        <v>248</v>
      </c>
    </row>
    <row r="310" spans="1:1" x14ac:dyDescent="0.25">
      <c r="A310" t="s">
        <v>249</v>
      </c>
    </row>
    <row r="311" spans="1:1" x14ac:dyDescent="0.25">
      <c r="A311" t="s">
        <v>250</v>
      </c>
    </row>
    <row r="312" spans="1:1" x14ac:dyDescent="0.25">
      <c r="A312" t="s">
        <v>251</v>
      </c>
    </row>
    <row r="313" spans="1:1" x14ac:dyDescent="0.25">
      <c r="A313" t="s">
        <v>252</v>
      </c>
    </row>
    <row r="314" spans="1:1" x14ac:dyDescent="0.25">
      <c r="A314" t="s">
        <v>253</v>
      </c>
    </row>
    <row r="315" spans="1:1" x14ac:dyDescent="0.25">
      <c r="A315" t="s">
        <v>254</v>
      </c>
    </row>
    <row r="316" spans="1:1" x14ac:dyDescent="0.25">
      <c r="A316" t="s">
        <v>255</v>
      </c>
    </row>
    <row r="317" spans="1:1" x14ac:dyDescent="0.25">
      <c r="A317" t="s">
        <v>256</v>
      </c>
    </row>
    <row r="318" spans="1:1" x14ac:dyDescent="0.25">
      <c r="A318" t="s">
        <v>257</v>
      </c>
    </row>
    <row r="319" spans="1:1" x14ac:dyDescent="0.25">
      <c r="A319" t="s">
        <v>21</v>
      </c>
    </row>
    <row r="321" spans="1:1" x14ac:dyDescent="0.25">
      <c r="A321" t="s">
        <v>258</v>
      </c>
    </row>
    <row r="322" spans="1:1" x14ac:dyDescent="0.25">
      <c r="A322" t="s">
        <v>259</v>
      </c>
    </row>
    <row r="323" spans="1:1" x14ac:dyDescent="0.25">
      <c r="A323" t="s">
        <v>260</v>
      </c>
    </row>
    <row r="324" spans="1:1" x14ac:dyDescent="0.25">
      <c r="A324" t="s">
        <v>261</v>
      </c>
    </row>
    <row r="325" spans="1:1" x14ac:dyDescent="0.25">
      <c r="A325" t="s">
        <v>262</v>
      </c>
    </row>
    <row r="326" spans="1:1" x14ac:dyDescent="0.25">
      <c r="A326" t="s">
        <v>263</v>
      </c>
    </row>
    <row r="327" spans="1:1" x14ac:dyDescent="0.25">
      <c r="A327" t="s">
        <v>264</v>
      </c>
    </row>
    <row r="328" spans="1:1" x14ac:dyDescent="0.25">
      <c r="A328" t="s">
        <v>265</v>
      </c>
    </row>
    <row r="329" spans="1:1" x14ac:dyDescent="0.25">
      <c r="A329" t="s">
        <v>266</v>
      </c>
    </row>
    <row r="330" spans="1:1" x14ac:dyDescent="0.25">
      <c r="A330" t="s">
        <v>267</v>
      </c>
    </row>
    <row r="331" spans="1:1" x14ac:dyDescent="0.25">
      <c r="A331" t="s">
        <v>268</v>
      </c>
    </row>
    <row r="332" spans="1:1" x14ac:dyDescent="0.25">
      <c r="A332" t="s">
        <v>263</v>
      </c>
    </row>
    <row r="333" spans="1:1" x14ac:dyDescent="0.25">
      <c r="A333" t="s">
        <v>260</v>
      </c>
    </row>
    <row r="334" spans="1:1" x14ac:dyDescent="0.25">
      <c r="A334" t="s">
        <v>269</v>
      </c>
    </row>
    <row r="335" spans="1:1" x14ac:dyDescent="0.25">
      <c r="A335" t="s">
        <v>262</v>
      </c>
    </row>
    <row r="336" spans="1:1" x14ac:dyDescent="0.25">
      <c r="A336" t="s">
        <v>21</v>
      </c>
    </row>
    <row r="338" spans="1:1" x14ac:dyDescent="0.25">
      <c r="A338" t="s">
        <v>270</v>
      </c>
    </row>
    <row r="339" spans="1:1" x14ac:dyDescent="0.25">
      <c r="A339" t="s">
        <v>271</v>
      </c>
    </row>
    <row r="340" spans="1:1" x14ac:dyDescent="0.25">
      <c r="A340" t="s">
        <v>272</v>
      </c>
    </row>
    <row r="341" spans="1:1" x14ac:dyDescent="0.25">
      <c r="A341" t="s">
        <v>273</v>
      </c>
    </row>
    <row r="342" spans="1:1" x14ac:dyDescent="0.25">
      <c r="A342" t="s">
        <v>274</v>
      </c>
    </row>
    <row r="343" spans="1:1" x14ac:dyDescent="0.25">
      <c r="A343" t="s">
        <v>275</v>
      </c>
    </row>
    <row r="344" spans="1:1" x14ac:dyDescent="0.25">
      <c r="A344" t="s">
        <v>276</v>
      </c>
    </row>
    <row r="345" spans="1:1" x14ac:dyDescent="0.25">
      <c r="A345" t="s">
        <v>277</v>
      </c>
    </row>
    <row r="346" spans="1:1" x14ac:dyDescent="0.25">
      <c r="A346" t="s">
        <v>278</v>
      </c>
    </row>
    <row r="347" spans="1:1" x14ac:dyDescent="0.25">
      <c r="A347" t="s">
        <v>279</v>
      </c>
    </row>
    <row r="348" spans="1:1" x14ac:dyDescent="0.25">
      <c r="A348" t="s">
        <v>21</v>
      </c>
    </row>
    <row r="351" spans="1:1" x14ac:dyDescent="0.25">
      <c r="A351" t="s">
        <v>280</v>
      </c>
    </row>
    <row r="352" spans="1:1" x14ac:dyDescent="0.25">
      <c r="A352" t="s">
        <v>281</v>
      </c>
    </row>
    <row r="353" spans="1:1" x14ac:dyDescent="0.25">
      <c r="A353" t="s">
        <v>282</v>
      </c>
    </row>
    <row r="355" spans="1:1" x14ac:dyDescent="0.25">
      <c r="A355" t="s">
        <v>283</v>
      </c>
    </row>
    <row r="356" spans="1:1" x14ac:dyDescent="0.25">
      <c r="A356" t="s">
        <v>284</v>
      </c>
    </row>
    <row r="357" spans="1:1" x14ac:dyDescent="0.25">
      <c r="A357" t="s">
        <v>285</v>
      </c>
    </row>
    <row r="359" spans="1:1" x14ac:dyDescent="0.25">
      <c r="A359" t="s">
        <v>286</v>
      </c>
    </row>
    <row r="360" spans="1:1" x14ac:dyDescent="0.25">
      <c r="A360" t="s">
        <v>260</v>
      </c>
    </row>
    <row r="361" spans="1:1" x14ac:dyDescent="0.25">
      <c r="A361" t="s">
        <v>287</v>
      </c>
    </row>
    <row r="362" spans="1:1" x14ac:dyDescent="0.25">
      <c r="A362" t="s">
        <v>288</v>
      </c>
    </row>
    <row r="363" spans="1:1" x14ac:dyDescent="0.25">
      <c r="A363" t="s">
        <v>289</v>
      </c>
    </row>
    <row r="364" spans="1:1" x14ac:dyDescent="0.25">
      <c r="A364" t="s">
        <v>290</v>
      </c>
    </row>
    <row r="365" spans="1:1" x14ac:dyDescent="0.25">
      <c r="A365" t="s">
        <v>262</v>
      </c>
    </row>
    <row r="366" spans="1:1" x14ac:dyDescent="0.25">
      <c r="A366" t="s">
        <v>291</v>
      </c>
    </row>
    <row r="367" spans="1:1" x14ac:dyDescent="0.25">
      <c r="A367" t="s">
        <v>292</v>
      </c>
    </row>
    <row r="368" spans="1:1" x14ac:dyDescent="0.25">
      <c r="A368" t="s">
        <v>293</v>
      </c>
    </row>
    <row r="369" spans="1:1" x14ac:dyDescent="0.25">
      <c r="A369" t="s">
        <v>291</v>
      </c>
    </row>
    <row r="370" spans="1:1" x14ac:dyDescent="0.25">
      <c r="A370" t="s">
        <v>260</v>
      </c>
    </row>
    <row r="371" spans="1:1" x14ac:dyDescent="0.25">
      <c r="A371" t="s">
        <v>294</v>
      </c>
    </row>
    <row r="372" spans="1:1" x14ac:dyDescent="0.25">
      <c r="A372" t="s">
        <v>295</v>
      </c>
    </row>
    <row r="373" spans="1:1" x14ac:dyDescent="0.25">
      <c r="A373" t="s">
        <v>296</v>
      </c>
    </row>
    <row r="374" spans="1:1" x14ac:dyDescent="0.25">
      <c r="A374" t="s">
        <v>297</v>
      </c>
    </row>
    <row r="375" spans="1:1" x14ac:dyDescent="0.25">
      <c r="A375" t="s">
        <v>262</v>
      </c>
    </row>
    <row r="376" spans="1:1" x14ac:dyDescent="0.25">
      <c r="A376" t="s">
        <v>21</v>
      </c>
    </row>
    <row r="379" spans="1:1" x14ac:dyDescent="0.25">
      <c r="A379" t="s">
        <v>298</v>
      </c>
    </row>
    <row r="380" spans="1:1" x14ac:dyDescent="0.25">
      <c r="A380" t="s">
        <v>299</v>
      </c>
    </row>
    <row r="381" spans="1:1" x14ac:dyDescent="0.25">
      <c r="A381" t="s">
        <v>300</v>
      </c>
    </row>
    <row r="382" spans="1:1" x14ac:dyDescent="0.25">
      <c r="A382" t="s">
        <v>301</v>
      </c>
    </row>
    <row r="383" spans="1:1" x14ac:dyDescent="0.25">
      <c r="A383" t="s">
        <v>302</v>
      </c>
    </row>
    <row r="384" spans="1:1" x14ac:dyDescent="0.25">
      <c r="A384" t="s">
        <v>303</v>
      </c>
    </row>
    <row r="385" spans="1:1" x14ac:dyDescent="0.25">
      <c r="A385" t="s">
        <v>304</v>
      </c>
    </row>
    <row r="386" spans="1:1" x14ac:dyDescent="0.25">
      <c r="A386" t="s">
        <v>305</v>
      </c>
    </row>
    <row r="387" spans="1:1" x14ac:dyDescent="0.25">
      <c r="A387" t="s">
        <v>306</v>
      </c>
    </row>
    <row r="388" spans="1:1" x14ac:dyDescent="0.25">
      <c r="A388" t="s">
        <v>307</v>
      </c>
    </row>
    <row r="389" spans="1:1" x14ac:dyDescent="0.25">
      <c r="A389" t="s">
        <v>308</v>
      </c>
    </row>
    <row r="390" spans="1:1" x14ac:dyDescent="0.25">
      <c r="A390" t="s">
        <v>309</v>
      </c>
    </row>
    <row r="391" spans="1:1" x14ac:dyDescent="0.25">
      <c r="A391" t="s">
        <v>310</v>
      </c>
    </row>
    <row r="392" spans="1:1" x14ac:dyDescent="0.25">
      <c r="A392" t="s">
        <v>311</v>
      </c>
    </row>
    <row r="393" spans="1:1" x14ac:dyDescent="0.25">
      <c r="A393" t="s">
        <v>312</v>
      </c>
    </row>
    <row r="394" spans="1:1" x14ac:dyDescent="0.25">
      <c r="A394" t="s">
        <v>313</v>
      </c>
    </row>
    <row r="395" spans="1:1" x14ac:dyDescent="0.25">
      <c r="A395" t="s">
        <v>262</v>
      </c>
    </row>
    <row r="396" spans="1:1" x14ac:dyDescent="0.25">
      <c r="A396" t="s">
        <v>314</v>
      </c>
    </row>
    <row r="397" spans="1:1" x14ac:dyDescent="0.25">
      <c r="A397" t="s">
        <v>21</v>
      </c>
    </row>
    <row r="399" spans="1:1" x14ac:dyDescent="0.25">
      <c r="A399" t="s">
        <v>298</v>
      </c>
    </row>
    <row r="400" spans="1:1" x14ac:dyDescent="0.25">
      <c r="A400" t="s">
        <v>315</v>
      </c>
    </row>
    <row r="401" spans="1:1" x14ac:dyDescent="0.25">
      <c r="A401" t="s">
        <v>316</v>
      </c>
    </row>
    <row r="402" spans="1:1" x14ac:dyDescent="0.25">
      <c r="A402" t="s">
        <v>317</v>
      </c>
    </row>
    <row r="403" spans="1:1" x14ac:dyDescent="0.25">
      <c r="A403" t="s">
        <v>318</v>
      </c>
    </row>
    <row r="404" spans="1:1" x14ac:dyDescent="0.25">
      <c r="A404" t="s">
        <v>319</v>
      </c>
    </row>
    <row r="405" spans="1:1" x14ac:dyDescent="0.25">
      <c r="A405" t="s">
        <v>320</v>
      </c>
    </row>
    <row r="406" spans="1:1" x14ac:dyDescent="0.25">
      <c r="A406" t="s">
        <v>321</v>
      </c>
    </row>
    <row r="407" spans="1:1" x14ac:dyDescent="0.25">
      <c r="A407" t="s">
        <v>322</v>
      </c>
    </row>
    <row r="408" spans="1:1" x14ac:dyDescent="0.25">
      <c r="A408" t="s">
        <v>323</v>
      </c>
    </row>
    <row r="409" spans="1:1" x14ac:dyDescent="0.25">
      <c r="A409" t="s">
        <v>324</v>
      </c>
    </row>
    <row r="410" spans="1:1" x14ac:dyDescent="0.25">
      <c r="A410" t="s">
        <v>325</v>
      </c>
    </row>
    <row r="411" spans="1:1" x14ac:dyDescent="0.25">
      <c r="A411" t="s">
        <v>326</v>
      </c>
    </row>
    <row r="412" spans="1:1" x14ac:dyDescent="0.25">
      <c r="A412" t="s">
        <v>327</v>
      </c>
    </row>
    <row r="413" spans="1:1" x14ac:dyDescent="0.25">
      <c r="A413" t="s">
        <v>328</v>
      </c>
    </row>
    <row r="414" spans="1:1" x14ac:dyDescent="0.25">
      <c r="A414" t="s">
        <v>329</v>
      </c>
    </row>
    <row r="415" spans="1:1" x14ac:dyDescent="0.25">
      <c r="A415" t="s">
        <v>312</v>
      </c>
    </row>
    <row r="416" spans="1:1" x14ac:dyDescent="0.25">
      <c r="A416" t="s">
        <v>330</v>
      </c>
    </row>
    <row r="417" spans="1:1" x14ac:dyDescent="0.25">
      <c r="A417" t="s">
        <v>331</v>
      </c>
    </row>
    <row r="418" spans="1:1" x14ac:dyDescent="0.25">
      <c r="A418" t="s">
        <v>21</v>
      </c>
    </row>
    <row r="420" spans="1:1" x14ac:dyDescent="0.25">
      <c r="A420" t="s">
        <v>332</v>
      </c>
    </row>
    <row r="421" spans="1:1" x14ac:dyDescent="0.25">
      <c r="A421" t="s">
        <v>333</v>
      </c>
    </row>
    <row r="422" spans="1:1" x14ac:dyDescent="0.25">
      <c r="A422" t="s">
        <v>334</v>
      </c>
    </row>
    <row r="423" spans="1:1" x14ac:dyDescent="0.25">
      <c r="A423" t="s">
        <v>335</v>
      </c>
    </row>
    <row r="424" spans="1:1" x14ac:dyDescent="0.25">
      <c r="A424" t="s">
        <v>262</v>
      </c>
    </row>
    <row r="425" spans="1:1" x14ac:dyDescent="0.25">
      <c r="A425" t="s">
        <v>336</v>
      </c>
    </row>
    <row r="426" spans="1:1" x14ac:dyDescent="0.25">
      <c r="A426" t="s">
        <v>337</v>
      </c>
    </row>
    <row r="427" spans="1:1" x14ac:dyDescent="0.25">
      <c r="A427" t="s">
        <v>338</v>
      </c>
    </row>
    <row r="428" spans="1:1" x14ac:dyDescent="0.25">
      <c r="A428" t="s">
        <v>339</v>
      </c>
    </row>
    <row r="429" spans="1:1" x14ac:dyDescent="0.25">
      <c r="A429" t="s">
        <v>340</v>
      </c>
    </row>
    <row r="430" spans="1:1" x14ac:dyDescent="0.25">
      <c r="A430" t="s">
        <v>341</v>
      </c>
    </row>
    <row r="431" spans="1:1" x14ac:dyDescent="0.25">
      <c r="A431" t="s">
        <v>342</v>
      </c>
    </row>
    <row r="432" spans="1:1" x14ac:dyDescent="0.25">
      <c r="A432" t="s">
        <v>343</v>
      </c>
    </row>
    <row r="433" spans="1:1" x14ac:dyDescent="0.25">
      <c r="A433" t="s">
        <v>344</v>
      </c>
    </row>
    <row r="434" spans="1:1" x14ac:dyDescent="0.25">
      <c r="A434" t="s">
        <v>329</v>
      </c>
    </row>
    <row r="435" spans="1:1" x14ac:dyDescent="0.25">
      <c r="A435" t="s">
        <v>345</v>
      </c>
    </row>
    <row r="436" spans="1:1" x14ac:dyDescent="0.25">
      <c r="A436" t="s">
        <v>346</v>
      </c>
    </row>
    <row r="437" spans="1:1" x14ac:dyDescent="0.25">
      <c r="A437" t="s">
        <v>306</v>
      </c>
    </row>
    <row r="438" spans="1:1" x14ac:dyDescent="0.25">
      <c r="A438" t="s">
        <v>347</v>
      </c>
    </row>
    <row r="439" spans="1:1" x14ac:dyDescent="0.25">
      <c r="A439" t="s">
        <v>348</v>
      </c>
    </row>
    <row r="440" spans="1:1" x14ac:dyDescent="0.25">
      <c r="A440" t="s">
        <v>349</v>
      </c>
    </row>
    <row r="441" spans="1:1" x14ac:dyDescent="0.25">
      <c r="A441" t="s">
        <v>309</v>
      </c>
    </row>
    <row r="442" spans="1:1" x14ac:dyDescent="0.25">
      <c r="A442" t="s">
        <v>350</v>
      </c>
    </row>
    <row r="443" spans="1:1" x14ac:dyDescent="0.25">
      <c r="A443" t="s">
        <v>312</v>
      </c>
    </row>
    <row r="444" spans="1:1" x14ac:dyDescent="0.25">
      <c r="A444" t="s">
        <v>351</v>
      </c>
    </row>
    <row r="445" spans="1:1" x14ac:dyDescent="0.25">
      <c r="A445" t="s">
        <v>313</v>
      </c>
    </row>
    <row r="446" spans="1:1" x14ac:dyDescent="0.25">
      <c r="A446" t="s">
        <v>352</v>
      </c>
    </row>
    <row r="447" spans="1:1" x14ac:dyDescent="0.25">
      <c r="A447" t="s">
        <v>262</v>
      </c>
    </row>
    <row r="448" spans="1:1" x14ac:dyDescent="0.25">
      <c r="A448" t="s">
        <v>353</v>
      </c>
    </row>
    <row r="449" spans="1:1" x14ac:dyDescent="0.25">
      <c r="A449" t="s">
        <v>354</v>
      </c>
    </row>
    <row r="450" spans="1:1" x14ac:dyDescent="0.25">
      <c r="A450" t="s">
        <v>355</v>
      </c>
    </row>
    <row r="451" spans="1:1" x14ac:dyDescent="0.25">
      <c r="A451" t="s">
        <v>356</v>
      </c>
    </row>
    <row r="452" spans="1:1" x14ac:dyDescent="0.25">
      <c r="A452" t="s">
        <v>357</v>
      </c>
    </row>
    <row r="453" spans="1:1" x14ac:dyDescent="0.25">
      <c r="A453" t="s">
        <v>313</v>
      </c>
    </row>
    <row r="454" spans="1:1" x14ac:dyDescent="0.25">
      <c r="A454" t="s">
        <v>262</v>
      </c>
    </row>
    <row r="455" spans="1:1" x14ac:dyDescent="0.25">
      <c r="A455" t="s">
        <v>21</v>
      </c>
    </row>
    <row r="458" spans="1:1" x14ac:dyDescent="0.25">
      <c r="A458" t="s">
        <v>358</v>
      </c>
    </row>
    <row r="459" spans="1:1" x14ac:dyDescent="0.25">
      <c r="A459" t="str">
        <f>VLOOKUP(J2,CHOOSE({1,2,3,4},D:D,C:C,B:B,A:A),4,FALSE)</f>
        <v>Second Highest salary?</v>
      </c>
    </row>
    <row r="460" spans="1:1" x14ac:dyDescent="0.25">
      <c r="A460" t="s">
        <v>359</v>
      </c>
    </row>
    <row r="461" spans="1:1" x14ac:dyDescent="0.25">
      <c r="A461" t="s">
        <v>360</v>
      </c>
    </row>
    <row r="462" spans="1:1" x14ac:dyDescent="0.25">
      <c r="A462" t="s">
        <v>361</v>
      </c>
    </row>
    <row r="463" spans="1:1" x14ac:dyDescent="0.25">
      <c r="A463" t="s">
        <v>362</v>
      </c>
    </row>
    <row r="464" spans="1:1" x14ac:dyDescent="0.25">
      <c r="A464" t="s">
        <v>363</v>
      </c>
    </row>
    <row r="465" spans="1:1" x14ac:dyDescent="0.25">
      <c r="A465" t="s">
        <v>364</v>
      </c>
    </row>
    <row r="466" spans="1:1" x14ac:dyDescent="0.25">
      <c r="A466" t="s">
        <v>365</v>
      </c>
    </row>
    <row r="467" spans="1:1" x14ac:dyDescent="0.25">
      <c r="A467" t="s">
        <v>366</v>
      </c>
    </row>
    <row r="468" spans="1:1" x14ac:dyDescent="0.25">
      <c r="A468" t="s">
        <v>367</v>
      </c>
    </row>
    <row r="469" spans="1:1" x14ac:dyDescent="0.25">
      <c r="A469" t="s">
        <v>368</v>
      </c>
    </row>
    <row r="470" spans="1:1" x14ac:dyDescent="0.25">
      <c r="A470" t="s">
        <v>369</v>
      </c>
    </row>
    <row r="471" spans="1:1" x14ac:dyDescent="0.25">
      <c r="A471" t="s">
        <v>370</v>
      </c>
    </row>
    <row r="472" spans="1:1" x14ac:dyDescent="0.25">
      <c r="A472" t="s">
        <v>371</v>
      </c>
    </row>
    <row r="476" spans="1:1" x14ac:dyDescent="0.25">
      <c r="A476" t="s">
        <v>372</v>
      </c>
    </row>
    <row r="477" spans="1:1" x14ac:dyDescent="0.25">
      <c r="A477" t="s">
        <v>156</v>
      </c>
    </row>
    <row r="478" spans="1:1" x14ac:dyDescent="0.25">
      <c r="A478" t="s">
        <v>373</v>
      </c>
    </row>
    <row r="479" spans="1:1" x14ac:dyDescent="0.25">
      <c r="A479" t="s">
        <v>374</v>
      </c>
    </row>
    <row r="480" spans="1:1" x14ac:dyDescent="0.25">
      <c r="A480" t="s">
        <v>375</v>
      </c>
    </row>
    <row r="481" spans="1:1" x14ac:dyDescent="0.25">
      <c r="A481" t="s">
        <v>376</v>
      </c>
    </row>
    <row r="482" spans="1:1" x14ac:dyDescent="0.25">
      <c r="A482" t="s">
        <v>377</v>
      </c>
    </row>
    <row r="483" spans="1:1" x14ac:dyDescent="0.25">
      <c r="A483" t="s">
        <v>378</v>
      </c>
    </row>
    <row r="484" spans="1:1" x14ac:dyDescent="0.25">
      <c r="A484" t="s">
        <v>379</v>
      </c>
    </row>
    <row r="485" spans="1:1" x14ac:dyDescent="0.25">
      <c r="A485" t="s">
        <v>380</v>
      </c>
    </row>
    <row r="486" spans="1:1" x14ac:dyDescent="0.25">
      <c r="A486" t="s">
        <v>381</v>
      </c>
    </row>
    <row r="487" spans="1:1" x14ac:dyDescent="0.25">
      <c r="A487" t="s">
        <v>382</v>
      </c>
    </row>
    <row r="488" spans="1:1" x14ac:dyDescent="0.25">
      <c r="A488" t="s">
        <v>383</v>
      </c>
    </row>
    <row r="489" spans="1:1" x14ac:dyDescent="0.25">
      <c r="A489" t="s">
        <v>21</v>
      </c>
    </row>
    <row r="490" spans="1:1" x14ac:dyDescent="0.25">
      <c r="A490" t="s">
        <v>384</v>
      </c>
    </row>
    <row r="491" spans="1:1" x14ac:dyDescent="0.25">
      <c r="A491" t="s">
        <v>156</v>
      </c>
    </row>
    <row r="492" spans="1:1" x14ac:dyDescent="0.25">
      <c r="A492" t="s">
        <v>373</v>
      </c>
    </row>
    <row r="493" spans="1:1" x14ac:dyDescent="0.25">
      <c r="A493" t="s">
        <v>385</v>
      </c>
    </row>
    <row r="494" spans="1:1" x14ac:dyDescent="0.25">
      <c r="A494" t="s">
        <v>386</v>
      </c>
    </row>
    <row r="495" spans="1:1" x14ac:dyDescent="0.25">
      <c r="A495" t="s">
        <v>21</v>
      </c>
    </row>
    <row r="497" spans="1:1" x14ac:dyDescent="0.25">
      <c r="A497" t="s">
        <v>387</v>
      </c>
    </row>
    <row r="498" spans="1:1" x14ac:dyDescent="0.25">
      <c r="A498" t="s">
        <v>388</v>
      </c>
    </row>
    <row r="499" spans="1:1" x14ac:dyDescent="0.25">
      <c r="A499" t="s">
        <v>282</v>
      </c>
    </row>
    <row r="501" spans="1:1" x14ac:dyDescent="0.25">
      <c r="A501" t="s">
        <v>389</v>
      </c>
    </row>
    <row r="502" spans="1:1" x14ac:dyDescent="0.25">
      <c r="A502" t="s">
        <v>390</v>
      </c>
    </row>
    <row r="503" spans="1:1" x14ac:dyDescent="0.25">
      <c r="A503" t="s">
        <v>391</v>
      </c>
    </row>
    <row r="504" spans="1:1" x14ac:dyDescent="0.25">
      <c r="A504" t="s">
        <v>392</v>
      </c>
    </row>
    <row r="506" spans="1:1" x14ac:dyDescent="0.25">
      <c r="A506" t="s">
        <v>393</v>
      </c>
    </row>
    <row r="507" spans="1:1" x14ac:dyDescent="0.25">
      <c r="A507" t="s">
        <v>394</v>
      </c>
    </row>
    <row r="508" spans="1:1" x14ac:dyDescent="0.25">
      <c r="A508" t="s">
        <v>395</v>
      </c>
    </row>
    <row r="509" spans="1:1" x14ac:dyDescent="0.25">
      <c r="A509" t="s">
        <v>160</v>
      </c>
    </row>
    <row r="510" spans="1:1" x14ac:dyDescent="0.25">
      <c r="A510" t="s">
        <v>396</v>
      </c>
    </row>
    <row r="511" spans="1:1" x14ac:dyDescent="0.25">
      <c r="A511" t="s">
        <v>397</v>
      </c>
    </row>
    <row r="512" spans="1:1" x14ac:dyDescent="0.25">
      <c r="A512" t="s">
        <v>398</v>
      </c>
    </row>
    <row r="513" spans="1:1" x14ac:dyDescent="0.25">
      <c r="A513" t="s">
        <v>399</v>
      </c>
    </row>
    <row r="514" spans="1:1" x14ac:dyDescent="0.25">
      <c r="A514" t="s">
        <v>400</v>
      </c>
    </row>
    <row r="515" spans="1:1" x14ac:dyDescent="0.25">
      <c r="A515" t="s">
        <v>168</v>
      </c>
    </row>
    <row r="516" spans="1:1" x14ac:dyDescent="0.25">
      <c r="A516" t="s">
        <v>21</v>
      </c>
    </row>
    <row r="517" spans="1:1" x14ac:dyDescent="0.25">
      <c r="A517" t="s">
        <v>401</v>
      </c>
    </row>
    <row r="518" spans="1:1" x14ac:dyDescent="0.25">
      <c r="A518" t="s">
        <v>394</v>
      </c>
    </row>
    <row r="519" spans="1:1" x14ac:dyDescent="0.25">
      <c r="A519" t="s">
        <v>395</v>
      </c>
    </row>
    <row r="520" spans="1:1" x14ac:dyDescent="0.25">
      <c r="A520" t="s">
        <v>160</v>
      </c>
    </row>
    <row r="521" spans="1:1" x14ac:dyDescent="0.25">
      <c r="A521" t="s">
        <v>396</v>
      </c>
    </row>
    <row r="522" spans="1:1" x14ac:dyDescent="0.25">
      <c r="A522" t="s">
        <v>402</v>
      </c>
    </row>
    <row r="523" spans="1:1" x14ac:dyDescent="0.25">
      <c r="A523" t="s">
        <v>398</v>
      </c>
    </row>
    <row r="524" spans="1:1" x14ac:dyDescent="0.25">
      <c r="A524" t="s">
        <v>403</v>
      </c>
    </row>
    <row r="525" spans="1:1" x14ac:dyDescent="0.25">
      <c r="A525" t="s">
        <v>404</v>
      </c>
    </row>
    <row r="526" spans="1:1" x14ac:dyDescent="0.25">
      <c r="A526" t="s">
        <v>168</v>
      </c>
    </row>
    <row r="527" spans="1:1" x14ac:dyDescent="0.25">
      <c r="A527" t="s">
        <v>21</v>
      </c>
    </row>
    <row r="530" spans="1:1" x14ac:dyDescent="0.25">
      <c r="A530" t="s">
        <v>405</v>
      </c>
    </row>
    <row r="531" spans="1:1" x14ac:dyDescent="0.25">
      <c r="A531" t="s">
        <v>332</v>
      </c>
    </row>
    <row r="532" spans="1:1" x14ac:dyDescent="0.25">
      <c r="A532" t="s">
        <v>406</v>
      </c>
    </row>
    <row r="533" spans="1:1" x14ac:dyDescent="0.25">
      <c r="A533" t="s">
        <v>407</v>
      </c>
    </row>
    <row r="534" spans="1:1" x14ac:dyDescent="0.25">
      <c r="A534" t="s">
        <v>408</v>
      </c>
    </row>
    <row r="535" spans="1:1" x14ac:dyDescent="0.25">
      <c r="A535" t="s">
        <v>409</v>
      </c>
    </row>
    <row r="536" spans="1:1" x14ac:dyDescent="0.25">
      <c r="A536" t="s">
        <v>410</v>
      </c>
    </row>
    <row r="537" spans="1:1" x14ac:dyDescent="0.25">
      <c r="A537" t="s">
        <v>411</v>
      </c>
    </row>
    <row r="538" spans="1:1" x14ac:dyDescent="0.25">
      <c r="A538" t="s">
        <v>412</v>
      </c>
    </row>
    <row r="539" spans="1:1" x14ac:dyDescent="0.25">
      <c r="A539" t="s">
        <v>329</v>
      </c>
    </row>
    <row r="540" spans="1:1" x14ac:dyDescent="0.25">
      <c r="A540" t="s">
        <v>413</v>
      </c>
    </row>
    <row r="541" spans="1:1" x14ac:dyDescent="0.25">
      <c r="A541" t="s">
        <v>414</v>
      </c>
    </row>
    <row r="542" spans="1:1" x14ac:dyDescent="0.25">
      <c r="A542" t="s">
        <v>415</v>
      </c>
    </row>
    <row r="543" spans="1:1" x14ac:dyDescent="0.25">
      <c r="A543" t="s">
        <v>416</v>
      </c>
    </row>
    <row r="544" spans="1:1" x14ac:dyDescent="0.25">
      <c r="A544" t="s">
        <v>417</v>
      </c>
    </row>
    <row r="545" spans="1:1" x14ac:dyDescent="0.25">
      <c r="A545" t="s">
        <v>418</v>
      </c>
    </row>
    <row r="546" spans="1:1" x14ac:dyDescent="0.25">
      <c r="A546" t="s">
        <v>415</v>
      </c>
    </row>
    <row r="547" spans="1:1" x14ac:dyDescent="0.25">
      <c r="A547" t="s">
        <v>330</v>
      </c>
    </row>
    <row r="548" spans="1:1" x14ac:dyDescent="0.25">
      <c r="A548" t="s">
        <v>21</v>
      </c>
    </row>
    <row r="550" spans="1:1" x14ac:dyDescent="0.25">
      <c r="A550" t="s">
        <v>419</v>
      </c>
    </row>
    <row r="551" spans="1:1" x14ac:dyDescent="0.25">
      <c r="A551" t="s">
        <v>420</v>
      </c>
    </row>
    <row r="552" spans="1:1" x14ac:dyDescent="0.25">
      <c r="A552" t="s">
        <v>421</v>
      </c>
    </row>
    <row r="553" spans="1:1" x14ac:dyDescent="0.25">
      <c r="A553" t="s">
        <v>422</v>
      </c>
    </row>
    <row r="554" spans="1:1" x14ac:dyDescent="0.25">
      <c r="A554" t="s">
        <v>423</v>
      </c>
    </row>
    <row r="555" spans="1:1" x14ac:dyDescent="0.25">
      <c r="A555" t="s">
        <v>424</v>
      </c>
    </row>
    <row r="556" spans="1:1" x14ac:dyDescent="0.25">
      <c r="A556" t="s">
        <v>425</v>
      </c>
    </row>
    <row r="557" spans="1:1" x14ac:dyDescent="0.25">
      <c r="A557" t="s">
        <v>426</v>
      </c>
    </row>
    <row r="559" spans="1:1" x14ac:dyDescent="0.25">
      <c r="A559" t="s">
        <v>427</v>
      </c>
    </row>
    <row r="560" spans="1:1" x14ac:dyDescent="0.25">
      <c r="A560" t="e">
        <f>SUMPRODUCT(1/COUNTIF(B3:B12,B3:B12))</f>
        <v>#DIV/0!</v>
      </c>
    </row>
    <row r="561" spans="1:1" x14ac:dyDescent="0.25">
      <c r="A561" t="s">
        <v>428</v>
      </c>
    </row>
    <row r="562" spans="1:1" x14ac:dyDescent="0.25">
      <c r="A562" t="s">
        <v>429</v>
      </c>
    </row>
    <row r="563" spans="1:1" x14ac:dyDescent="0.25">
      <c r="A563" t="s">
        <v>430</v>
      </c>
    </row>
    <row r="565" spans="1:1" x14ac:dyDescent="0.25">
      <c r="A565" t="s">
        <v>431</v>
      </c>
    </row>
    <row r="566" spans="1:1" x14ac:dyDescent="0.25">
      <c r="A566" t="s">
        <v>432</v>
      </c>
    </row>
    <row r="567" spans="1:1" x14ac:dyDescent="0.25">
      <c r="A567" t="s">
        <v>433</v>
      </c>
    </row>
    <row r="568" spans="1:1" x14ac:dyDescent="0.25">
      <c r="A568" t="s">
        <v>434</v>
      </c>
    </row>
    <row r="569" spans="1:1" x14ac:dyDescent="0.25">
      <c r="A569" t="s">
        <v>435</v>
      </c>
    </row>
    <row r="570" spans="1:1" x14ac:dyDescent="0.25">
      <c r="A570" t="s">
        <v>436</v>
      </c>
    </row>
    <row r="571" spans="1:1" x14ac:dyDescent="0.25">
      <c r="A571" t="s">
        <v>437</v>
      </c>
    </row>
    <row r="572" spans="1:1" x14ac:dyDescent="0.25">
      <c r="A572" t="s">
        <v>438</v>
      </c>
    </row>
    <row r="573" spans="1:1" x14ac:dyDescent="0.25">
      <c r="A573" t="s">
        <v>439</v>
      </c>
    </row>
    <row r="574" spans="1:1" x14ac:dyDescent="0.25">
      <c r="A574" t="s">
        <v>440</v>
      </c>
    </row>
    <row r="575" spans="1:1" x14ac:dyDescent="0.25">
      <c r="A575" t="s">
        <v>441</v>
      </c>
    </row>
    <row r="576" spans="1:1" x14ac:dyDescent="0.25">
      <c r="A576" t="s">
        <v>442</v>
      </c>
    </row>
    <row r="577" spans="1:1" x14ac:dyDescent="0.25">
      <c r="A577" t="s">
        <v>443</v>
      </c>
    </row>
    <row r="578" spans="1:1" x14ac:dyDescent="0.25">
      <c r="A578" t="s">
        <v>444</v>
      </c>
    </row>
    <row r="579" spans="1:1" x14ac:dyDescent="0.25">
      <c r="A579" t="s">
        <v>445</v>
      </c>
    </row>
    <row r="580" spans="1:1" x14ac:dyDescent="0.25">
      <c r="A580" t="s">
        <v>446</v>
      </c>
    </row>
    <row r="581" spans="1:1" x14ac:dyDescent="0.25">
      <c r="A581" t="s">
        <v>447</v>
      </c>
    </row>
    <row r="582" spans="1:1" x14ac:dyDescent="0.25">
      <c r="A582" t="s">
        <v>448</v>
      </c>
    </row>
    <row r="583" spans="1:1" x14ac:dyDescent="0.25">
      <c r="A583" t="s">
        <v>449</v>
      </c>
    </row>
    <row r="584" spans="1:1" x14ac:dyDescent="0.25">
      <c r="A584" t="s">
        <v>450</v>
      </c>
    </row>
    <row r="585" spans="1:1" x14ac:dyDescent="0.25">
      <c r="A585" t="s">
        <v>451</v>
      </c>
    </row>
    <row r="586" spans="1:1" x14ac:dyDescent="0.25">
      <c r="A586" t="s">
        <v>452</v>
      </c>
    </row>
    <row r="587" spans="1:1" x14ac:dyDescent="0.25">
      <c r="A587" t="s">
        <v>453</v>
      </c>
    </row>
    <row r="588" spans="1:1" x14ac:dyDescent="0.25">
      <c r="A588" t="s">
        <v>454</v>
      </c>
    </row>
    <row r="589" spans="1:1" x14ac:dyDescent="0.25">
      <c r="A589" t="s">
        <v>455</v>
      </c>
    </row>
    <row r="590" spans="1:1" x14ac:dyDescent="0.25">
      <c r="A590" t="s">
        <v>456</v>
      </c>
    </row>
    <row r="591" spans="1:1" x14ac:dyDescent="0.25">
      <c r="A591" t="s">
        <v>457</v>
      </c>
    </row>
    <row r="592" spans="1:1" x14ac:dyDescent="0.25">
      <c r="A592" t="s">
        <v>458</v>
      </c>
    </row>
    <row r="593" spans="1:1" x14ac:dyDescent="0.25">
      <c r="A593" t="s">
        <v>459</v>
      </c>
    </row>
    <row r="594" spans="1:1" x14ac:dyDescent="0.25">
      <c r="A594" t="s">
        <v>460</v>
      </c>
    </row>
    <row r="595" spans="1:1" x14ac:dyDescent="0.25">
      <c r="A595" t="s">
        <v>461</v>
      </c>
    </row>
    <row r="596" spans="1:1" x14ac:dyDescent="0.25">
      <c r="A596" t="s">
        <v>462</v>
      </c>
    </row>
    <row r="597" spans="1:1" x14ac:dyDescent="0.25">
      <c r="A597" t="s">
        <v>463</v>
      </c>
    </row>
    <row r="598" spans="1:1" x14ac:dyDescent="0.25">
      <c r="A598" t="s">
        <v>464</v>
      </c>
    </row>
    <row r="599" spans="1:1" x14ac:dyDescent="0.25">
      <c r="A599" t="s">
        <v>465</v>
      </c>
    </row>
    <row r="600" spans="1:1" x14ac:dyDescent="0.25">
      <c r="A600" t="s">
        <v>466</v>
      </c>
    </row>
    <row r="601" spans="1:1" x14ac:dyDescent="0.25">
      <c r="A601" t="s">
        <v>467</v>
      </c>
    </row>
    <row r="602" spans="1:1" x14ac:dyDescent="0.25">
      <c r="A602" t="s">
        <v>468</v>
      </c>
    </row>
    <row r="603" spans="1:1" x14ac:dyDescent="0.25">
      <c r="A603" t="s">
        <v>469</v>
      </c>
    </row>
    <row r="604" spans="1:1" x14ac:dyDescent="0.25">
      <c r="A604" t="s">
        <v>470</v>
      </c>
    </row>
    <row r="606" spans="1:1" x14ac:dyDescent="0.25">
      <c r="A606" t="s">
        <v>471</v>
      </c>
    </row>
    <row r="608" spans="1:1" x14ac:dyDescent="0.25">
      <c r="A608" t="s">
        <v>472</v>
      </c>
    </row>
    <row r="611" spans="1:1" x14ac:dyDescent="0.25">
      <c r="A611" t="s">
        <v>473</v>
      </c>
    </row>
    <row r="612" spans="1:1" x14ac:dyDescent="0.25">
      <c r="A612" t="s">
        <v>474</v>
      </c>
    </row>
    <row r="613" spans="1:1" x14ac:dyDescent="0.25">
      <c r="A613" t="s">
        <v>475</v>
      </c>
    </row>
    <row r="614" spans="1:1" x14ac:dyDescent="0.25">
      <c r="A614" t="s">
        <v>476</v>
      </c>
    </row>
    <row r="615" spans="1:1" x14ac:dyDescent="0.25">
      <c r="A615" t="s">
        <v>477</v>
      </c>
    </row>
    <row r="616" spans="1:1" x14ac:dyDescent="0.25">
      <c r="A616" t="s">
        <v>478</v>
      </c>
    </row>
    <row r="617" spans="1:1" x14ac:dyDescent="0.25">
      <c r="A617" t="s">
        <v>479</v>
      </c>
    </row>
    <row r="619" spans="1:1" x14ac:dyDescent="0.25">
      <c r="A619" t="s">
        <v>480</v>
      </c>
    </row>
    <row r="620" spans="1:1" x14ac:dyDescent="0.25">
      <c r="A620" t="s">
        <v>481</v>
      </c>
    </row>
    <row r="621" spans="1:1" x14ac:dyDescent="0.25">
      <c r="A621" t="s">
        <v>482</v>
      </c>
    </row>
    <row r="622" spans="1:1" x14ac:dyDescent="0.25">
      <c r="A622" t="s">
        <v>483</v>
      </c>
    </row>
    <row r="623" spans="1:1" x14ac:dyDescent="0.25">
      <c r="A623" t="s">
        <v>484</v>
      </c>
    </row>
    <row r="624" spans="1:1" x14ac:dyDescent="0.25">
      <c r="A624" t="s">
        <v>485</v>
      </c>
    </row>
    <row r="625" spans="1:1" x14ac:dyDescent="0.25">
      <c r="A625" t="s">
        <v>486</v>
      </c>
    </row>
    <row r="626" spans="1:1" x14ac:dyDescent="0.25">
      <c r="A626" t="s">
        <v>21</v>
      </c>
    </row>
    <row r="628" spans="1:1" x14ac:dyDescent="0.25">
      <c r="A628" t="s">
        <v>487</v>
      </c>
    </row>
    <row r="629" spans="1:1" x14ac:dyDescent="0.25">
      <c r="A629" t="s">
        <v>488</v>
      </c>
    </row>
    <row r="630" spans="1:1" x14ac:dyDescent="0.25">
      <c r="A630" t="s">
        <v>489</v>
      </c>
    </row>
    <row r="631" spans="1:1" x14ac:dyDescent="0.25">
      <c r="A631" t="s">
        <v>489</v>
      </c>
    </row>
    <row r="632" spans="1:1" x14ac:dyDescent="0.25">
      <c r="A632" t="s">
        <v>489</v>
      </c>
    </row>
    <row r="633" spans="1:1" x14ac:dyDescent="0.25">
      <c r="A633" t="s">
        <v>489</v>
      </c>
    </row>
    <row r="637" spans="1:1" x14ac:dyDescent="0.25">
      <c r="A637" t="s">
        <v>490</v>
      </c>
    </row>
    <row r="638" spans="1:1" x14ac:dyDescent="0.25">
      <c r="A638" t="s">
        <v>248</v>
      </c>
    </row>
    <row r="639" spans="1:1" x14ac:dyDescent="0.25">
      <c r="A639" t="s">
        <v>491</v>
      </c>
    </row>
    <row r="640" spans="1:1" x14ac:dyDescent="0.25">
      <c r="A640" t="s">
        <v>263</v>
      </c>
    </row>
    <row r="641" spans="1:1" x14ac:dyDescent="0.25">
      <c r="A641" t="s">
        <v>492</v>
      </c>
    </row>
    <row r="642" spans="1:1" x14ac:dyDescent="0.25">
      <c r="A642" t="s">
        <v>263</v>
      </c>
    </row>
    <row r="643" spans="1:1" x14ac:dyDescent="0.25">
      <c r="A643" t="s">
        <v>21</v>
      </c>
    </row>
    <row r="645" spans="1:1" x14ac:dyDescent="0.25">
      <c r="A645" t="s">
        <v>493</v>
      </c>
    </row>
    <row r="646" spans="1:1" x14ac:dyDescent="0.25">
      <c r="A646" t="s">
        <v>494</v>
      </c>
    </row>
    <row r="647" spans="1:1" x14ac:dyDescent="0.25">
      <c r="A647" t="s">
        <v>495</v>
      </c>
    </row>
    <row r="648" spans="1:1" x14ac:dyDescent="0.25">
      <c r="A648" t="s">
        <v>496</v>
      </c>
    </row>
    <row r="649" spans="1:1" x14ac:dyDescent="0.25">
      <c r="A649" t="s">
        <v>278</v>
      </c>
    </row>
    <row r="650" spans="1:1" x14ac:dyDescent="0.25">
      <c r="A650" t="s">
        <v>21</v>
      </c>
    </row>
    <row r="652" spans="1:1" x14ac:dyDescent="0.25">
      <c r="A652" t="s">
        <v>497</v>
      </c>
    </row>
    <row r="653" spans="1:1" x14ac:dyDescent="0.25">
      <c r="A653" t="s">
        <v>498</v>
      </c>
    </row>
    <row r="654" spans="1:1" x14ac:dyDescent="0.25">
      <c r="A654" t="s">
        <v>499</v>
      </c>
    </row>
    <row r="655" spans="1:1" x14ac:dyDescent="0.25">
      <c r="A655" t="s">
        <v>500</v>
      </c>
    </row>
    <row r="656" spans="1:1" x14ac:dyDescent="0.25">
      <c r="A656" t="s">
        <v>501</v>
      </c>
    </row>
    <row r="657" spans="1:1" x14ac:dyDescent="0.25">
      <c r="A657" t="s">
        <v>21</v>
      </c>
    </row>
    <row r="659" spans="1:1" x14ac:dyDescent="0.25">
      <c r="A659" t="s">
        <v>502</v>
      </c>
    </row>
    <row r="660" spans="1:1" x14ac:dyDescent="0.25">
      <c r="A660" t="s">
        <v>494</v>
      </c>
    </row>
    <row r="661" spans="1:1" x14ac:dyDescent="0.25">
      <c r="A661" t="s">
        <v>495</v>
      </c>
    </row>
    <row r="662" spans="1:1" x14ac:dyDescent="0.25">
      <c r="A662" t="s">
        <v>496</v>
      </c>
    </row>
    <row r="663" spans="1:1" x14ac:dyDescent="0.25">
      <c r="A663" t="s">
        <v>278</v>
      </c>
    </row>
    <row r="664" spans="1:1" x14ac:dyDescent="0.25">
      <c r="A664" t="s">
        <v>21</v>
      </c>
    </row>
    <row r="665" spans="1:1" x14ac:dyDescent="0.25">
      <c r="A665" t="s">
        <v>497</v>
      </c>
    </row>
    <row r="666" spans="1:1" x14ac:dyDescent="0.25">
      <c r="A666" t="s">
        <v>498</v>
      </c>
    </row>
    <row r="667" spans="1:1" x14ac:dyDescent="0.25">
      <c r="A667" t="s">
        <v>503</v>
      </c>
    </row>
    <row r="668" spans="1:1" x14ac:dyDescent="0.25">
      <c r="A668" t="s">
        <v>500</v>
      </c>
    </row>
    <row r="669" spans="1:1" x14ac:dyDescent="0.25">
      <c r="A669" t="s">
        <v>501</v>
      </c>
    </row>
    <row r="670" spans="1:1" x14ac:dyDescent="0.25">
      <c r="A670" t="s">
        <v>21</v>
      </c>
    </row>
    <row r="672" spans="1:1" x14ac:dyDescent="0.25">
      <c r="A672" t="s">
        <v>504</v>
      </c>
    </row>
    <row r="673" spans="1:1" x14ac:dyDescent="0.25">
      <c r="A673" t="s">
        <v>505</v>
      </c>
    </row>
    <row r="674" spans="1:1" x14ac:dyDescent="0.25">
      <c r="A674" t="s">
        <v>506</v>
      </c>
    </row>
    <row r="675" spans="1:1" x14ac:dyDescent="0.25">
      <c r="A675" t="s">
        <v>507</v>
      </c>
    </row>
    <row r="676" spans="1:1" x14ac:dyDescent="0.25">
      <c r="A676" t="s">
        <v>234</v>
      </c>
    </row>
    <row r="677" spans="1:1" x14ac:dyDescent="0.25">
      <c r="A677" t="s">
        <v>508</v>
      </c>
    </row>
    <row r="678" spans="1:1" x14ac:dyDescent="0.25">
      <c r="A678" t="s">
        <v>509</v>
      </c>
    </row>
    <row r="679" spans="1:1" x14ac:dyDescent="0.25">
      <c r="A679" t="s">
        <v>510</v>
      </c>
    </row>
    <row r="680" spans="1:1" x14ac:dyDescent="0.25">
      <c r="A680" t="s">
        <v>511</v>
      </c>
    </row>
    <row r="681" spans="1:1" x14ac:dyDescent="0.25">
      <c r="A681" t="s">
        <v>512</v>
      </c>
    </row>
    <row r="682" spans="1:1" x14ac:dyDescent="0.25">
      <c r="A682" t="s">
        <v>513</v>
      </c>
    </row>
    <row r="683" spans="1:1" x14ac:dyDescent="0.25">
      <c r="A683" t="s">
        <v>514</v>
      </c>
    </row>
    <row r="684" spans="1:1" x14ac:dyDescent="0.25">
      <c r="A684" t="s">
        <v>515</v>
      </c>
    </row>
    <row r="685" spans="1:1" x14ac:dyDescent="0.25">
      <c r="A685" t="s">
        <v>516</v>
      </c>
    </row>
    <row r="686" spans="1:1" x14ac:dyDescent="0.25">
      <c r="A686" t="s">
        <v>517</v>
      </c>
    </row>
    <row r="687" spans="1:1" x14ac:dyDescent="0.25">
      <c r="A687" t="s">
        <v>518</v>
      </c>
    </row>
    <row r="688" spans="1:1" x14ac:dyDescent="0.25">
      <c r="A688" t="s">
        <v>519</v>
      </c>
    </row>
    <row r="689" spans="1:1" x14ac:dyDescent="0.25">
      <c r="A689" t="s">
        <v>520</v>
      </c>
    </row>
    <row r="690" spans="1:1" x14ac:dyDescent="0.25">
      <c r="A690" t="s">
        <v>521</v>
      </c>
    </row>
    <row r="691" spans="1:1" x14ac:dyDescent="0.25">
      <c r="A691" t="s">
        <v>168</v>
      </c>
    </row>
    <row r="692" spans="1:1" x14ac:dyDescent="0.25">
      <c r="A692" t="s">
        <v>21</v>
      </c>
    </row>
    <row r="694" spans="1:1" x14ac:dyDescent="0.25">
      <c r="A694" t="s">
        <v>522</v>
      </c>
    </row>
    <row r="695" spans="1:1" x14ac:dyDescent="0.25">
      <c r="A695" t="s">
        <v>263</v>
      </c>
    </row>
    <row r="696" spans="1:1" x14ac:dyDescent="0.25">
      <c r="A696" t="s">
        <v>523</v>
      </c>
    </row>
    <row r="697" spans="1:1" x14ac:dyDescent="0.25">
      <c r="A697" t="s">
        <v>524</v>
      </c>
    </row>
    <row r="698" spans="1:1" x14ac:dyDescent="0.25">
      <c r="A698" t="s">
        <v>525</v>
      </c>
    </row>
    <row r="699" spans="1:1" x14ac:dyDescent="0.25">
      <c r="A699" t="s">
        <v>263</v>
      </c>
    </row>
    <row r="702" spans="1:1" x14ac:dyDescent="0.25">
      <c r="A702" t="s">
        <v>526</v>
      </c>
    </row>
    <row r="703" spans="1:1" x14ac:dyDescent="0.25">
      <c r="A703" t="s">
        <v>263</v>
      </c>
    </row>
    <row r="704" spans="1:1" x14ac:dyDescent="0.25">
      <c r="A704" t="s">
        <v>527</v>
      </c>
    </row>
    <row r="705" spans="1:1" x14ac:dyDescent="0.25">
      <c r="A705" t="s">
        <v>263</v>
      </c>
    </row>
    <row r="709" spans="1:1" x14ac:dyDescent="0.25">
      <c r="A709" t="s">
        <v>528</v>
      </c>
    </row>
    <row r="710" spans="1:1" x14ac:dyDescent="0.25">
      <c r="A710" t="s">
        <v>529</v>
      </c>
    </row>
    <row r="711" spans="1:1" x14ac:dyDescent="0.25">
      <c r="A711" t="s">
        <v>530</v>
      </c>
    </row>
    <row r="712" spans="1:1" x14ac:dyDescent="0.25">
      <c r="A712" t="s">
        <v>531</v>
      </c>
    </row>
    <row r="715" spans="1:1" x14ac:dyDescent="0.25">
      <c r="A715" t="s">
        <v>532</v>
      </c>
    </row>
    <row r="716" spans="1:1" x14ac:dyDescent="0.25">
      <c r="A716" t="s">
        <v>533</v>
      </c>
    </row>
    <row r="717" spans="1:1" x14ac:dyDescent="0.25">
      <c r="A717" t="s">
        <v>534</v>
      </c>
    </row>
    <row r="718" spans="1:1" x14ac:dyDescent="0.25">
      <c r="A718" t="s">
        <v>495</v>
      </c>
    </row>
    <row r="719" spans="1:1" x14ac:dyDescent="0.25">
      <c r="A719" t="s">
        <v>535</v>
      </c>
    </row>
    <row r="720" spans="1:1" x14ac:dyDescent="0.25">
      <c r="A720" t="s">
        <v>536</v>
      </c>
    </row>
    <row r="721" spans="1:1" x14ac:dyDescent="0.25">
      <c r="A721" t="s">
        <v>278</v>
      </c>
    </row>
    <row r="722" spans="1:1" x14ac:dyDescent="0.25">
      <c r="A722" t="s">
        <v>21</v>
      </c>
    </row>
    <row r="723" spans="1:1" x14ac:dyDescent="0.25">
      <c r="A723" t="s">
        <v>537</v>
      </c>
    </row>
    <row r="724" spans="1:1" x14ac:dyDescent="0.25">
      <c r="A724" t="s">
        <v>538</v>
      </c>
    </row>
    <row r="725" spans="1:1" x14ac:dyDescent="0.25">
      <c r="A725" t="s">
        <v>539</v>
      </c>
    </row>
    <row r="726" spans="1:1" x14ac:dyDescent="0.25">
      <c r="A726" t="s">
        <v>540</v>
      </c>
    </row>
    <row r="727" spans="1:1" x14ac:dyDescent="0.25">
      <c r="A727" t="s">
        <v>541</v>
      </c>
    </row>
    <row r="728" spans="1:1" x14ac:dyDescent="0.25">
      <c r="A728" t="s">
        <v>21</v>
      </c>
    </row>
    <row r="729" spans="1:1" x14ac:dyDescent="0.25">
      <c r="A729" t="s">
        <v>542</v>
      </c>
    </row>
    <row r="730" spans="1:1" x14ac:dyDescent="0.25">
      <c r="A730" t="s">
        <v>543</v>
      </c>
    </row>
    <row r="731" spans="1:1" x14ac:dyDescent="0.25">
      <c r="A731" t="s">
        <v>544</v>
      </c>
    </row>
    <row r="732" spans="1:1" x14ac:dyDescent="0.25">
      <c r="A732" t="s">
        <v>539</v>
      </c>
    </row>
    <row r="733" spans="1:1" x14ac:dyDescent="0.25">
      <c r="A733" t="s">
        <v>545</v>
      </c>
    </row>
    <row r="734" spans="1:1" x14ac:dyDescent="0.25">
      <c r="A734" t="s">
        <v>546</v>
      </c>
    </row>
    <row r="735" spans="1:1" x14ac:dyDescent="0.25">
      <c r="A735" t="s">
        <v>547</v>
      </c>
    </row>
    <row r="736" spans="1:1" x14ac:dyDescent="0.25">
      <c r="A736" t="s">
        <v>548</v>
      </c>
    </row>
    <row r="737" spans="1:1" x14ac:dyDescent="0.25">
      <c r="A737" t="s">
        <v>21</v>
      </c>
    </row>
    <row r="739" spans="1:1" x14ac:dyDescent="0.25">
      <c r="A739" t="s">
        <v>549</v>
      </c>
    </row>
    <row r="740" spans="1:1" x14ac:dyDescent="0.25">
      <c r="A740" t="s">
        <v>550</v>
      </c>
    </row>
    <row r="741" spans="1:1" x14ac:dyDescent="0.25">
      <c r="A741" t="s">
        <v>551</v>
      </c>
    </row>
    <row r="742" spans="1:1" x14ac:dyDescent="0.25">
      <c r="A742" t="s">
        <v>552</v>
      </c>
    </row>
    <row r="743" spans="1:1" x14ac:dyDescent="0.25">
      <c r="A743" t="s">
        <v>553</v>
      </c>
    </row>
    <row r="744" spans="1:1" x14ac:dyDescent="0.25">
      <c r="A744" t="s">
        <v>554</v>
      </c>
    </row>
    <row r="745" spans="1:1" x14ac:dyDescent="0.25">
      <c r="A745" t="s">
        <v>555</v>
      </c>
    </row>
    <row r="746" spans="1:1" x14ac:dyDescent="0.25">
      <c r="A746" t="s">
        <v>21</v>
      </c>
    </row>
    <row r="748" spans="1:1" x14ac:dyDescent="0.25">
      <c r="A748" t="s">
        <v>556</v>
      </c>
    </row>
    <row r="749" spans="1:1" x14ac:dyDescent="0.25">
      <c r="A749" t="s">
        <v>557</v>
      </c>
    </row>
    <row r="750" spans="1:1" x14ac:dyDescent="0.25">
      <c r="A750" t="s">
        <v>558</v>
      </c>
    </row>
    <row r="751" spans="1:1" x14ac:dyDescent="0.25">
      <c r="A751" t="s">
        <v>209</v>
      </c>
    </row>
    <row r="752" spans="1:1" x14ac:dyDescent="0.25">
      <c r="A752" t="s">
        <v>559</v>
      </c>
    </row>
    <row r="753" spans="1:1" x14ac:dyDescent="0.25">
      <c r="A753" t="s">
        <v>560</v>
      </c>
    </row>
    <row r="754" spans="1:1" x14ac:dyDescent="0.25">
      <c r="A754" t="s">
        <v>168</v>
      </c>
    </row>
    <row r="755" spans="1:1" x14ac:dyDescent="0.25">
      <c r="A755" t="s">
        <v>561</v>
      </c>
    </row>
    <row r="756" spans="1:1" x14ac:dyDescent="0.25">
      <c r="A756" t="s">
        <v>21</v>
      </c>
    </row>
    <row r="758" spans="1:1" x14ac:dyDescent="0.25">
      <c r="A758" t="s">
        <v>562</v>
      </c>
    </row>
    <row r="759" spans="1:1" x14ac:dyDescent="0.25">
      <c r="A759" t="s">
        <v>563</v>
      </c>
    </row>
    <row r="760" spans="1:1" x14ac:dyDescent="0.25">
      <c r="A760" t="s">
        <v>564</v>
      </c>
    </row>
    <row r="761" spans="1:1" x14ac:dyDescent="0.25">
      <c r="A761" t="s">
        <v>565</v>
      </c>
    </row>
    <row r="762" spans="1:1" x14ac:dyDescent="0.25">
      <c r="A762" t="s">
        <v>566</v>
      </c>
    </row>
    <row r="763" spans="1:1" x14ac:dyDescent="0.25">
      <c r="A763" t="s">
        <v>567</v>
      </c>
    </row>
    <row r="764" spans="1:1" x14ac:dyDescent="0.25">
      <c r="A764" t="s">
        <v>568</v>
      </c>
    </row>
    <row r="765" spans="1:1" x14ac:dyDescent="0.25">
      <c r="A765" t="s">
        <v>168</v>
      </c>
    </row>
    <row r="766" spans="1:1" x14ac:dyDescent="0.25">
      <c r="A766" t="s">
        <v>569</v>
      </c>
    </row>
    <row r="767" spans="1:1" x14ac:dyDescent="0.25">
      <c r="A767" t="s">
        <v>570</v>
      </c>
    </row>
    <row r="768" spans="1:1" x14ac:dyDescent="0.25">
      <c r="A768" t="s">
        <v>571</v>
      </c>
    </row>
    <row r="769" spans="1:1" x14ac:dyDescent="0.25">
      <c r="A769" t="s">
        <v>572</v>
      </c>
    </row>
    <row r="770" spans="1:1" x14ac:dyDescent="0.25">
      <c r="A770" t="s">
        <v>573</v>
      </c>
    </row>
    <row r="771" spans="1:1" x14ac:dyDescent="0.25">
      <c r="A771" t="s">
        <v>574</v>
      </c>
    </row>
    <row r="772" spans="1:1" x14ac:dyDescent="0.25">
      <c r="A772" t="s">
        <v>575</v>
      </c>
    </row>
    <row r="773" spans="1:1" x14ac:dyDescent="0.25">
      <c r="A773" t="s">
        <v>576</v>
      </c>
    </row>
    <row r="774" spans="1:1" x14ac:dyDescent="0.25">
      <c r="A774" t="s">
        <v>577</v>
      </c>
    </row>
    <row r="775" spans="1:1" x14ac:dyDescent="0.25">
      <c r="A775" t="s">
        <v>578</v>
      </c>
    </row>
    <row r="776" spans="1:1" x14ac:dyDescent="0.25">
      <c r="A776" t="s">
        <v>579</v>
      </c>
    </row>
    <row r="777" spans="1:1" x14ac:dyDescent="0.25">
      <c r="A777" t="s">
        <v>580</v>
      </c>
    </row>
    <row r="778" spans="1:1" x14ac:dyDescent="0.25">
      <c r="A778" t="s">
        <v>581</v>
      </c>
    </row>
    <row r="779" spans="1:1" x14ac:dyDescent="0.25">
      <c r="A779" t="s">
        <v>582</v>
      </c>
    </row>
    <row r="780" spans="1:1" x14ac:dyDescent="0.25">
      <c r="A780" t="s">
        <v>268</v>
      </c>
    </row>
    <row r="781" spans="1:1" x14ac:dyDescent="0.25">
      <c r="A781" t="s">
        <v>583</v>
      </c>
    </row>
    <row r="782" spans="1:1" x14ac:dyDescent="0.25">
      <c r="A782" t="s">
        <v>21</v>
      </c>
    </row>
    <row r="784" spans="1:1" x14ac:dyDescent="0.25">
      <c r="A784" t="s">
        <v>584</v>
      </c>
    </row>
    <row r="785" spans="1:1" x14ac:dyDescent="0.25">
      <c r="A785" t="s">
        <v>585</v>
      </c>
    </row>
    <row r="786" spans="1:1" x14ac:dyDescent="0.25">
      <c r="A786" t="s">
        <v>156</v>
      </c>
    </row>
    <row r="787" spans="1:1" x14ac:dyDescent="0.25">
      <c r="A787" t="s">
        <v>586</v>
      </c>
    </row>
    <row r="788" spans="1:1" x14ac:dyDescent="0.25">
      <c r="A788" t="s">
        <v>217</v>
      </c>
    </row>
    <row r="789" spans="1:1" x14ac:dyDescent="0.25">
      <c r="A789" t="s">
        <v>587</v>
      </c>
    </row>
    <row r="790" spans="1:1" x14ac:dyDescent="0.25">
      <c r="A790" t="s">
        <v>588</v>
      </c>
    </row>
    <row r="791" spans="1:1" x14ac:dyDescent="0.25">
      <c r="A791" t="s">
        <v>589</v>
      </c>
    </row>
    <row r="792" spans="1:1" x14ac:dyDescent="0.25">
      <c r="A792" t="s">
        <v>214</v>
      </c>
    </row>
    <row r="793" spans="1:1" x14ac:dyDescent="0.25">
      <c r="A793" t="s">
        <v>21</v>
      </c>
    </row>
    <row r="795" spans="1:1" x14ac:dyDescent="0.25">
      <c r="A795" t="s">
        <v>590</v>
      </c>
    </row>
    <row r="796" spans="1:1" x14ac:dyDescent="0.25">
      <c r="A796" t="s">
        <v>591</v>
      </c>
    </row>
    <row r="797" spans="1:1" x14ac:dyDescent="0.25">
      <c r="A797" t="s">
        <v>156</v>
      </c>
    </row>
    <row r="798" spans="1:1" x14ac:dyDescent="0.25">
      <c r="A798" t="s">
        <v>592</v>
      </c>
    </row>
    <row r="799" spans="1:1" x14ac:dyDescent="0.25">
      <c r="A799" t="s">
        <v>217</v>
      </c>
    </row>
    <row r="800" spans="1:1" x14ac:dyDescent="0.25">
      <c r="A800" t="s">
        <v>593</v>
      </c>
    </row>
    <row r="801" spans="1:1" x14ac:dyDescent="0.25">
      <c r="A801" t="s">
        <v>588</v>
      </c>
    </row>
    <row r="802" spans="1:1" x14ac:dyDescent="0.25">
      <c r="A802" t="s">
        <v>589</v>
      </c>
    </row>
    <row r="803" spans="1:1" x14ac:dyDescent="0.25">
      <c r="A803" t="s">
        <v>214</v>
      </c>
    </row>
    <row r="804" spans="1:1" x14ac:dyDescent="0.25">
      <c r="A804" t="s">
        <v>21</v>
      </c>
    </row>
    <row r="806" spans="1:1" x14ac:dyDescent="0.25">
      <c r="A806" t="s">
        <v>594</v>
      </c>
    </row>
    <row r="807" spans="1:1" x14ac:dyDescent="0.25">
      <c r="A807" t="s">
        <v>585</v>
      </c>
    </row>
    <row r="808" spans="1:1" x14ac:dyDescent="0.25">
      <c r="A808" t="s">
        <v>156</v>
      </c>
    </row>
    <row r="809" spans="1:1" x14ac:dyDescent="0.25">
      <c r="A809" t="s">
        <v>586</v>
      </c>
    </row>
    <row r="810" spans="1:1" x14ac:dyDescent="0.25">
      <c r="A810" t="s">
        <v>217</v>
      </c>
    </row>
    <row r="811" spans="1:1" x14ac:dyDescent="0.25">
      <c r="A811" t="s">
        <v>587</v>
      </c>
    </row>
    <row r="812" spans="1:1" x14ac:dyDescent="0.25">
      <c r="A812" t="s">
        <v>595</v>
      </c>
    </row>
    <row r="813" spans="1:1" x14ac:dyDescent="0.25">
      <c r="A813" t="s">
        <v>596</v>
      </c>
    </row>
    <row r="814" spans="1:1" x14ac:dyDescent="0.25">
      <c r="A814" t="s">
        <v>589</v>
      </c>
    </row>
    <row r="815" spans="1:1" x14ac:dyDescent="0.25">
      <c r="A815" t="s">
        <v>214</v>
      </c>
    </row>
    <row r="816" spans="1:1" x14ac:dyDescent="0.25">
      <c r="A816" t="s">
        <v>21</v>
      </c>
    </row>
    <row r="819" spans="1:1" x14ac:dyDescent="0.25">
      <c r="A819" t="s">
        <v>597</v>
      </c>
    </row>
    <row r="820" spans="1:1" x14ac:dyDescent="0.25">
      <c r="A820" t="s">
        <v>156</v>
      </c>
    </row>
    <row r="821" spans="1:1" x14ac:dyDescent="0.25">
      <c r="A821" t="s">
        <v>598</v>
      </c>
    </row>
    <row r="822" spans="1:1" x14ac:dyDescent="0.25">
      <c r="A822" t="s">
        <v>160</v>
      </c>
    </row>
    <row r="823" spans="1:1" x14ac:dyDescent="0.25">
      <c r="A823" t="s">
        <v>599</v>
      </c>
    </row>
    <row r="824" spans="1:1" x14ac:dyDescent="0.25">
      <c r="A824" t="s">
        <v>600</v>
      </c>
    </row>
    <row r="825" spans="1:1" x14ac:dyDescent="0.25">
      <c r="A825" t="s">
        <v>601</v>
      </c>
    </row>
    <row r="826" spans="1:1" x14ac:dyDescent="0.25">
      <c r="A826" t="s">
        <v>602</v>
      </c>
    </row>
    <row r="827" spans="1:1" x14ac:dyDescent="0.25">
      <c r="A827" t="s">
        <v>603</v>
      </c>
    </row>
    <row r="828" spans="1:1" x14ac:dyDescent="0.25">
      <c r="A828" t="s">
        <v>604</v>
      </c>
    </row>
    <row r="829" spans="1:1" x14ac:dyDescent="0.25">
      <c r="A829" t="s">
        <v>168</v>
      </c>
    </row>
    <row r="830" spans="1:1" x14ac:dyDescent="0.25">
      <c r="A830" t="s">
        <v>21</v>
      </c>
    </row>
    <row r="831" spans="1:1" x14ac:dyDescent="0.25">
      <c r="A831" t="s">
        <v>605</v>
      </c>
    </row>
    <row r="832" spans="1:1" x14ac:dyDescent="0.25">
      <c r="A832" t="s">
        <v>507</v>
      </c>
    </row>
    <row r="833" spans="1:1" x14ac:dyDescent="0.25">
      <c r="A833" t="s">
        <v>606</v>
      </c>
    </row>
    <row r="834" spans="1:1" x14ac:dyDescent="0.25">
      <c r="A834" t="s">
        <v>607</v>
      </c>
    </row>
    <row r="835" spans="1:1" x14ac:dyDescent="0.25">
      <c r="A835" t="s">
        <v>608</v>
      </c>
    </row>
    <row r="836" spans="1:1" x14ac:dyDescent="0.25">
      <c r="A836" t="s">
        <v>609</v>
      </c>
    </row>
    <row r="837" spans="1:1" x14ac:dyDescent="0.25">
      <c r="A837" t="s">
        <v>610</v>
      </c>
    </row>
    <row r="838" spans="1:1" x14ac:dyDescent="0.25">
      <c r="A838" t="s">
        <v>611</v>
      </c>
    </row>
    <row r="839" spans="1:1" x14ac:dyDescent="0.25">
      <c r="A839" t="s">
        <v>612</v>
      </c>
    </row>
    <row r="840" spans="1:1" x14ac:dyDescent="0.25">
      <c r="A840" t="s">
        <v>234</v>
      </c>
    </row>
    <row r="841" spans="1:1" x14ac:dyDescent="0.25">
      <c r="A841" t="s">
        <v>613</v>
      </c>
    </row>
    <row r="842" spans="1:1" x14ac:dyDescent="0.25">
      <c r="A842" t="s">
        <v>614</v>
      </c>
    </row>
    <row r="843" spans="1:1" x14ac:dyDescent="0.25">
      <c r="A843" t="s">
        <v>615</v>
      </c>
    </row>
    <row r="844" spans="1:1" x14ac:dyDescent="0.25">
      <c r="A844" t="s">
        <v>616</v>
      </c>
    </row>
    <row r="845" spans="1:1" x14ac:dyDescent="0.25">
      <c r="A845" t="s">
        <v>617</v>
      </c>
    </row>
    <row r="846" spans="1:1" x14ac:dyDescent="0.25">
      <c r="A846" t="s">
        <v>618</v>
      </c>
    </row>
    <row r="847" spans="1:1" x14ac:dyDescent="0.25">
      <c r="A847" t="s">
        <v>619</v>
      </c>
    </row>
    <row r="848" spans="1:1" x14ac:dyDescent="0.25">
      <c r="A848" t="s">
        <v>620</v>
      </c>
    </row>
    <row r="849" spans="1:1" x14ac:dyDescent="0.25">
      <c r="A849" t="s">
        <v>168</v>
      </c>
    </row>
    <row r="850" spans="1:1" x14ac:dyDescent="0.25">
      <c r="A850" t="s">
        <v>21</v>
      </c>
    </row>
    <row r="852" spans="1:1" x14ac:dyDescent="0.25">
      <c r="A852" t="s">
        <v>621</v>
      </c>
    </row>
    <row r="853" spans="1:1" x14ac:dyDescent="0.25">
      <c r="A853" t="s">
        <v>622</v>
      </c>
    </row>
    <row r="854" spans="1:1" x14ac:dyDescent="0.25">
      <c r="A854" t="s">
        <v>623</v>
      </c>
    </row>
    <row r="855" spans="1:1" x14ac:dyDescent="0.25">
      <c r="A855" t="s">
        <v>624</v>
      </c>
    </row>
    <row r="856" spans="1:1" x14ac:dyDescent="0.25">
      <c r="A856" t="s">
        <v>625</v>
      </c>
    </row>
    <row r="857" spans="1:1" x14ac:dyDescent="0.25">
      <c r="A857" t="s">
        <v>626</v>
      </c>
    </row>
    <row r="858" spans="1:1" x14ac:dyDescent="0.25">
      <c r="A858" t="s">
        <v>627</v>
      </c>
    </row>
    <row r="859" spans="1:1" x14ac:dyDescent="0.25">
      <c r="A859" t="s">
        <v>555</v>
      </c>
    </row>
    <row r="860" spans="1:1" x14ac:dyDescent="0.25">
      <c r="A860" t="s">
        <v>21</v>
      </c>
    </row>
    <row r="862" spans="1:1" x14ac:dyDescent="0.25">
      <c r="A862" t="s">
        <v>628</v>
      </c>
    </row>
    <row r="863" spans="1:1" x14ac:dyDescent="0.25">
      <c r="A863" t="s">
        <v>629</v>
      </c>
    </row>
    <row r="864" spans="1:1" x14ac:dyDescent="0.25">
      <c r="A864" t="s">
        <v>630</v>
      </c>
    </row>
    <row r="865" spans="1:1" x14ac:dyDescent="0.25">
      <c r="A865" t="s">
        <v>631</v>
      </c>
    </row>
    <row r="866" spans="1:1" x14ac:dyDescent="0.25">
      <c r="A866" t="s">
        <v>632</v>
      </c>
    </row>
    <row r="867" spans="1:1" x14ac:dyDescent="0.25">
      <c r="A867" t="s">
        <v>633</v>
      </c>
    </row>
    <row r="868" spans="1:1" x14ac:dyDescent="0.25">
      <c r="A868" t="s">
        <v>21</v>
      </c>
    </row>
    <row r="870" spans="1:1" x14ac:dyDescent="0.25">
      <c r="A870" t="s">
        <v>634</v>
      </c>
    </row>
    <row r="871" spans="1:1" x14ac:dyDescent="0.25">
      <c r="A871" t="s">
        <v>635</v>
      </c>
    </row>
    <row r="872" spans="1:1" x14ac:dyDescent="0.25">
      <c r="A872" t="s">
        <v>636</v>
      </c>
    </row>
    <row r="873" spans="1:1" x14ac:dyDescent="0.25">
      <c r="A873" t="s">
        <v>631</v>
      </c>
    </row>
    <row r="874" spans="1:1" x14ac:dyDescent="0.25">
      <c r="A874" t="s">
        <v>21</v>
      </c>
    </row>
    <row r="875" spans="1:1" x14ac:dyDescent="0.25">
      <c r="A875" t="s">
        <v>637</v>
      </c>
    </row>
    <row r="876" spans="1:1" x14ac:dyDescent="0.25">
      <c r="A876" t="s">
        <v>638</v>
      </c>
    </row>
    <row r="877" spans="1:1" x14ac:dyDescent="0.25">
      <c r="A877" t="s">
        <v>639</v>
      </c>
    </row>
    <row r="878" spans="1:1" x14ac:dyDescent="0.25">
      <c r="A878" t="s">
        <v>640</v>
      </c>
    </row>
    <row r="879" spans="1:1" x14ac:dyDescent="0.25">
      <c r="A879" t="s">
        <v>641</v>
      </c>
    </row>
    <row r="880" spans="1:1" x14ac:dyDescent="0.25">
      <c r="A880" t="s">
        <v>21</v>
      </c>
    </row>
    <row r="881" spans="1:1" x14ac:dyDescent="0.25">
      <c r="A881" t="s">
        <v>642</v>
      </c>
    </row>
    <row r="882" spans="1:1" x14ac:dyDescent="0.25">
      <c r="A882" t="s">
        <v>643</v>
      </c>
    </row>
    <row r="883" spans="1:1" x14ac:dyDescent="0.25">
      <c r="A883" t="s">
        <v>21</v>
      </c>
    </row>
    <row r="885" spans="1:1" x14ac:dyDescent="0.25">
      <c r="A885" t="s">
        <v>644</v>
      </c>
    </row>
    <row r="886" spans="1:1" x14ac:dyDescent="0.25">
      <c r="A886" t="s">
        <v>645</v>
      </c>
    </row>
    <row r="887" spans="1:1" x14ac:dyDescent="0.25">
      <c r="A887" t="s">
        <v>646</v>
      </c>
    </row>
    <row r="888" spans="1:1" x14ac:dyDescent="0.25">
      <c r="A888" t="s">
        <v>647</v>
      </c>
    </row>
    <row r="889" spans="1:1" x14ac:dyDescent="0.25">
      <c r="A889" t="s">
        <v>21</v>
      </c>
    </row>
    <row r="891" spans="1:1" x14ac:dyDescent="0.25">
      <c r="A891" t="s">
        <v>648</v>
      </c>
    </row>
    <row r="892" spans="1:1" x14ac:dyDescent="0.25">
      <c r="A892" t="s">
        <v>649</v>
      </c>
    </row>
    <row r="893" spans="1:1" x14ac:dyDescent="0.25">
      <c r="A893" t="s">
        <v>650</v>
      </c>
    </row>
    <row r="894" spans="1:1" x14ac:dyDescent="0.25">
      <c r="A894" t="s">
        <v>651</v>
      </c>
    </row>
    <row r="895" spans="1:1" x14ac:dyDescent="0.25">
      <c r="A895" t="s">
        <v>652</v>
      </c>
    </row>
    <row r="896" spans="1:1" x14ac:dyDescent="0.25">
      <c r="A896" t="s">
        <v>653</v>
      </c>
    </row>
    <row r="897" spans="1:1" x14ac:dyDescent="0.25">
      <c r="A897" t="s">
        <v>654</v>
      </c>
    </row>
    <row r="898" spans="1:1" x14ac:dyDescent="0.25">
      <c r="A898" t="s">
        <v>655</v>
      </c>
    </row>
    <row r="899" spans="1:1" x14ac:dyDescent="0.25">
      <c r="A899" t="s">
        <v>656</v>
      </c>
    </row>
    <row r="900" spans="1:1" x14ac:dyDescent="0.25">
      <c r="A900" t="s">
        <v>657</v>
      </c>
    </row>
    <row r="907" spans="1:1" x14ac:dyDescent="0.25">
      <c r="A907" t="s">
        <v>658</v>
      </c>
    </row>
    <row r="908" spans="1:1" x14ac:dyDescent="0.25">
      <c r="A908" t="s">
        <v>659</v>
      </c>
    </row>
    <row r="909" spans="1:1" x14ac:dyDescent="0.25">
      <c r="A909">
        <f>IF(ISERROR(AC17/AB17),0,AC17/AB17)</f>
        <v>0</v>
      </c>
    </row>
    <row r="910" spans="1:1" x14ac:dyDescent="0.25">
      <c r="A910" t="s">
        <v>660</v>
      </c>
    </row>
    <row r="911" spans="1:1" x14ac:dyDescent="0.25">
      <c r="A911" t="s">
        <v>661</v>
      </c>
    </row>
    <row r="912" spans="1:1" x14ac:dyDescent="0.25">
      <c r="A912" t="s">
        <v>662</v>
      </c>
    </row>
    <row r="913" spans="1:1" x14ac:dyDescent="0.25">
      <c r="A913" t="s">
        <v>663</v>
      </c>
    </row>
    <row r="914" spans="1:1" x14ac:dyDescent="0.25">
      <c r="A914" t="s">
        <v>664</v>
      </c>
    </row>
    <row r="915" spans="1:1" x14ac:dyDescent="0.25">
      <c r="A915" t="s">
        <v>665</v>
      </c>
    </row>
    <row r="916" spans="1:1" x14ac:dyDescent="0.25">
      <c r="A916" t="s">
        <v>666</v>
      </c>
    </row>
    <row r="918" spans="1:1" x14ac:dyDescent="0.25">
      <c r="A918" t="s">
        <v>667</v>
      </c>
    </row>
    <row r="919" spans="1:1" x14ac:dyDescent="0.25">
      <c r="A919" t="s">
        <v>668</v>
      </c>
    </row>
    <row r="920" spans="1:1" x14ac:dyDescent="0.25">
      <c r="A920" t="s">
        <v>669</v>
      </c>
    </row>
    <row r="921" spans="1:1" x14ac:dyDescent="0.25">
      <c r="A921" t="s">
        <v>670</v>
      </c>
    </row>
    <row r="922" spans="1:1" x14ac:dyDescent="0.25">
      <c r="A922" t="s">
        <v>671</v>
      </c>
    </row>
    <row r="923" spans="1:1" x14ac:dyDescent="0.25">
      <c r="A923" t="s">
        <v>672</v>
      </c>
    </row>
    <row r="924" spans="1:1" x14ac:dyDescent="0.25">
      <c r="A924" t="s">
        <v>673</v>
      </c>
    </row>
    <row r="925" spans="1:1" x14ac:dyDescent="0.25">
      <c r="A925" t="s">
        <v>674</v>
      </c>
    </row>
    <row r="926" spans="1:1" x14ac:dyDescent="0.25">
      <c r="A926" t="s">
        <v>675</v>
      </c>
    </row>
    <row r="927" spans="1:1" x14ac:dyDescent="0.25">
      <c r="A927" t="s">
        <v>676</v>
      </c>
    </row>
    <row r="928" spans="1:1" x14ac:dyDescent="0.25">
      <c r="A928" t="s">
        <v>677</v>
      </c>
    </row>
    <row r="929" spans="1:1" x14ac:dyDescent="0.25">
      <c r="A929" t="s">
        <v>268</v>
      </c>
    </row>
    <row r="930" spans="1:1" x14ac:dyDescent="0.25">
      <c r="A930" t="s">
        <v>678</v>
      </c>
    </row>
    <row r="931" spans="1:1" x14ac:dyDescent="0.25">
      <c r="A931" t="str">
        <f>IF(ISERROR(A2/B2)," ",(A2/B2))</f>
        <v xml:space="preserve"> </v>
      </c>
    </row>
    <row r="932" spans="1:1" x14ac:dyDescent="0.25">
      <c r="A932" t="e">
        <f>IF([1]Sheet6!A1=0," ",[1]Sheet6!A1)</f>
        <v>#REF!</v>
      </c>
    </row>
    <row r="935" spans="1:1" x14ac:dyDescent="0.25">
      <c r="A935" t="s">
        <v>679</v>
      </c>
    </row>
    <row r="936" spans="1:1" x14ac:dyDescent="0.25">
      <c r="A936" t="s">
        <v>680</v>
      </c>
    </row>
    <row r="937" spans="1:1" x14ac:dyDescent="0.25">
      <c r="A937" t="s">
        <v>681</v>
      </c>
    </row>
    <row r="938" spans="1:1" x14ac:dyDescent="0.25">
      <c r="A938" t="s">
        <v>682</v>
      </c>
    </row>
    <row r="939" spans="1:1" x14ac:dyDescent="0.25">
      <c r="A939" t="s">
        <v>683</v>
      </c>
    </row>
    <row r="940" spans="1:1" x14ac:dyDescent="0.25">
      <c r="A940" t="s">
        <v>684</v>
      </c>
    </row>
    <row r="941" spans="1:1" x14ac:dyDescent="0.25">
      <c r="A941" t="s">
        <v>262</v>
      </c>
    </row>
    <row r="942" spans="1:1" x14ac:dyDescent="0.25">
      <c r="A942" t="s">
        <v>685</v>
      </c>
    </row>
    <row r="943" spans="1:1" x14ac:dyDescent="0.25">
      <c r="A943" t="s">
        <v>686</v>
      </c>
    </row>
    <row r="944" spans="1:1" x14ac:dyDescent="0.25">
      <c r="A944" t="s">
        <v>214</v>
      </c>
    </row>
    <row r="945" spans="1:1" x14ac:dyDescent="0.25">
      <c r="A945" t="s">
        <v>21</v>
      </c>
    </row>
    <row r="948" spans="1:1" x14ac:dyDescent="0.25">
      <c r="A948" t="s">
        <v>687</v>
      </c>
    </row>
    <row r="949" spans="1:1" x14ac:dyDescent="0.25">
      <c r="A949" t="s">
        <v>688</v>
      </c>
    </row>
    <row r="950" spans="1:1" x14ac:dyDescent="0.25">
      <c r="A950" t="s">
        <v>689</v>
      </c>
    </row>
    <row r="951" spans="1:1" x14ac:dyDescent="0.25">
      <c r="A951" t="s">
        <v>690</v>
      </c>
    </row>
    <row r="952" spans="1:1" x14ac:dyDescent="0.25">
      <c r="A952" t="s">
        <v>691</v>
      </c>
    </row>
    <row r="953" spans="1:1" x14ac:dyDescent="0.25">
      <c r="A953" t="s">
        <v>692</v>
      </c>
    </row>
    <row r="954" spans="1:1" x14ac:dyDescent="0.25">
      <c r="A954" t="s">
        <v>693</v>
      </c>
    </row>
    <row r="955" spans="1:1" x14ac:dyDescent="0.25">
      <c r="A955" t="s">
        <v>694</v>
      </c>
    </row>
    <row r="956" spans="1:1" x14ac:dyDescent="0.25">
      <c r="A956" t="s">
        <v>695</v>
      </c>
    </row>
    <row r="957" spans="1:1" x14ac:dyDescent="0.25">
      <c r="A957" t="s">
        <v>696</v>
      </c>
    </row>
    <row r="958" spans="1:1" x14ac:dyDescent="0.25">
      <c r="A958" t="s">
        <v>697</v>
      </c>
    </row>
    <row r="959" spans="1:1" x14ac:dyDescent="0.25">
      <c r="A959" t="s">
        <v>698</v>
      </c>
    </row>
    <row r="960" spans="1:1" x14ac:dyDescent="0.25">
      <c r="A960" t="s">
        <v>699</v>
      </c>
    </row>
    <row r="961" spans="1:1" x14ac:dyDescent="0.25">
      <c r="A961" t="s">
        <v>700</v>
      </c>
    </row>
    <row r="962" spans="1:1" x14ac:dyDescent="0.25">
      <c r="A962" t="s">
        <v>701</v>
      </c>
    </row>
    <row r="963" spans="1:1" x14ac:dyDescent="0.25">
      <c r="A963" t="s">
        <v>702</v>
      </c>
    </row>
    <row r="964" spans="1:1" x14ac:dyDescent="0.25">
      <c r="A964" t="s">
        <v>703</v>
      </c>
    </row>
    <row r="965" spans="1:1" x14ac:dyDescent="0.25">
      <c r="A965" t="s">
        <v>704</v>
      </c>
    </row>
    <row r="967" spans="1:1" x14ac:dyDescent="0.25">
      <c r="A967" t="s">
        <v>705</v>
      </c>
    </row>
    <row r="968" spans="1:1" x14ac:dyDescent="0.25">
      <c r="A968" t="s">
        <v>706</v>
      </c>
    </row>
    <row r="969" spans="1:1" x14ac:dyDescent="0.25">
      <c r="A969" t="s">
        <v>707</v>
      </c>
    </row>
    <row r="970" spans="1:1" x14ac:dyDescent="0.25">
      <c r="A970" t="s">
        <v>708</v>
      </c>
    </row>
    <row r="971" spans="1:1" x14ac:dyDescent="0.25">
      <c r="A971" t="s">
        <v>709</v>
      </c>
    </row>
    <row r="972" spans="1:1" x14ac:dyDescent="0.25">
      <c r="A972" t="s">
        <v>710</v>
      </c>
    </row>
    <row r="973" spans="1:1" x14ac:dyDescent="0.25">
      <c r="A973" t="s">
        <v>711</v>
      </c>
    </row>
    <row r="974" spans="1:1" x14ac:dyDescent="0.25">
      <c r="A974" t="s">
        <v>712</v>
      </c>
    </row>
    <row r="975" spans="1:1" x14ac:dyDescent="0.25">
      <c r="A975" t="s">
        <v>713</v>
      </c>
    </row>
    <row r="976" spans="1:1" x14ac:dyDescent="0.25">
      <c r="A976" t="s">
        <v>714</v>
      </c>
    </row>
    <row r="977" spans="1:1" x14ac:dyDescent="0.25">
      <c r="A977" t="s">
        <v>715</v>
      </c>
    </row>
    <row r="978" spans="1:1" x14ac:dyDescent="0.25">
      <c r="A978" t="s">
        <v>716</v>
      </c>
    </row>
    <row r="979" spans="1:1" x14ac:dyDescent="0.25">
      <c r="A979" t="s">
        <v>717</v>
      </c>
    </row>
    <row r="981" spans="1:1" x14ac:dyDescent="0.25">
      <c r="A981" t="s">
        <v>718</v>
      </c>
    </row>
    <row r="982" spans="1:1" x14ac:dyDescent="0.25">
      <c r="A982" t="s">
        <v>719</v>
      </c>
    </row>
    <row r="983" spans="1:1" x14ac:dyDescent="0.25">
      <c r="A983" t="s">
        <v>717</v>
      </c>
    </row>
    <row r="984" spans="1:1" x14ac:dyDescent="0.25">
      <c r="A984" t="s">
        <v>720</v>
      </c>
    </row>
    <row r="985" spans="1:1" x14ac:dyDescent="0.25">
      <c r="A985" t="s">
        <v>721</v>
      </c>
    </row>
    <row r="986" spans="1:1" x14ac:dyDescent="0.25">
      <c r="A986" t="s">
        <v>722</v>
      </c>
    </row>
    <row r="987" spans="1:1" x14ac:dyDescent="0.25">
      <c r="A987" t="s">
        <v>723</v>
      </c>
    </row>
    <row r="988" spans="1:1" x14ac:dyDescent="0.25">
      <c r="A988" t="s">
        <v>724</v>
      </c>
    </row>
    <row r="989" spans="1:1" x14ac:dyDescent="0.25">
      <c r="A989" t="s">
        <v>725</v>
      </c>
    </row>
    <row r="990" spans="1:1" x14ac:dyDescent="0.25">
      <c r="A990" t="s">
        <v>726</v>
      </c>
    </row>
    <row r="991" spans="1:1" x14ac:dyDescent="0.25">
      <c r="A991" t="s">
        <v>708</v>
      </c>
    </row>
    <row r="992" spans="1:1" x14ac:dyDescent="0.25">
      <c r="A992" t="s">
        <v>709</v>
      </c>
    </row>
    <row r="997" spans="1:1" x14ac:dyDescent="0.25">
      <c r="A997" t="s">
        <v>727</v>
      </c>
    </row>
    <row r="998" spans="1:1" x14ac:dyDescent="0.25">
      <c r="A998" t="s">
        <v>728</v>
      </c>
    </row>
    <row r="999" spans="1:1" x14ac:dyDescent="0.25">
      <c r="A999" t="s">
        <v>729</v>
      </c>
    </row>
    <row r="1000" spans="1:1" x14ac:dyDescent="0.25">
      <c r="A1000" t="s">
        <v>730</v>
      </c>
    </row>
    <row r="1002" spans="1:1" x14ac:dyDescent="0.25">
      <c r="A1002" t="s">
        <v>731</v>
      </c>
    </row>
    <row r="1003" spans="1:1" x14ac:dyDescent="0.25">
      <c r="A1003" t="s">
        <v>732</v>
      </c>
    </row>
    <row r="1004" spans="1:1" x14ac:dyDescent="0.25">
      <c r="A1004" t="s">
        <v>733</v>
      </c>
    </row>
    <row r="1007" spans="1:1" x14ac:dyDescent="0.25">
      <c r="A1007" t="e">
        <f>91-1413956000-Manish Infosys BPO Ltd.</f>
        <v>#NAME?</v>
      </c>
    </row>
    <row r="1008" spans="1:1" x14ac:dyDescent="0.25">
      <c r="A1008" t="s">
        <v>734</v>
      </c>
    </row>
    <row r="1009" spans="1:1" x14ac:dyDescent="0.25">
      <c r="A1009" t="s">
        <v>735</v>
      </c>
    </row>
    <row r="1010" spans="1:1" x14ac:dyDescent="0.25">
      <c r="A1010" t="s">
        <v>736</v>
      </c>
    </row>
    <row r="1011" spans="1:1" x14ac:dyDescent="0.25">
      <c r="A1011" t="s">
        <v>737</v>
      </c>
    </row>
    <row r="1012" spans="1:1" x14ac:dyDescent="0.25">
      <c r="A1012" t="s">
        <v>738</v>
      </c>
    </row>
    <row r="1013" spans="1:1" x14ac:dyDescent="0.25">
      <c r="A1013" t="s">
        <v>739</v>
      </c>
    </row>
    <row r="1014" spans="1:1" x14ac:dyDescent="0.25">
      <c r="A1014" t="s">
        <v>740</v>
      </c>
    </row>
    <row r="1015" spans="1:1" x14ac:dyDescent="0.25">
      <c r="A1015" t="s">
        <v>741</v>
      </c>
    </row>
    <row r="1016" spans="1:1" x14ac:dyDescent="0.25">
      <c r="A1016" t="s">
        <v>742</v>
      </c>
    </row>
    <row r="1017" spans="1:1" x14ac:dyDescent="0.25">
      <c r="A1017" t="s">
        <v>743</v>
      </c>
    </row>
    <row r="1018" spans="1:1" x14ac:dyDescent="0.25">
      <c r="A1018" t="s">
        <v>744</v>
      </c>
    </row>
    <row r="1019" spans="1:1" x14ac:dyDescent="0.25">
      <c r="A1019" t="s">
        <v>745</v>
      </c>
    </row>
    <row r="1020" spans="1:1" x14ac:dyDescent="0.25">
      <c r="A1020" t="s">
        <v>746</v>
      </c>
    </row>
    <row r="1022" spans="1:1" x14ac:dyDescent="0.25">
      <c r="A1022" t="s">
        <v>747</v>
      </c>
    </row>
    <row r="1023" spans="1:1" x14ac:dyDescent="0.25">
      <c r="A1023" t="s">
        <v>748</v>
      </c>
    </row>
    <row r="1024" spans="1:1" x14ac:dyDescent="0.25">
      <c r="A1024" t="s">
        <v>749</v>
      </c>
    </row>
    <row r="1025" spans="1:1" x14ac:dyDescent="0.25">
      <c r="A1025" t="s">
        <v>750</v>
      </c>
    </row>
    <row r="1026" spans="1:1" x14ac:dyDescent="0.25">
      <c r="A1026" t="s">
        <v>751</v>
      </c>
    </row>
    <row r="1028" spans="1:1" x14ac:dyDescent="0.25">
      <c r="A1028" t="s">
        <v>752</v>
      </c>
    </row>
    <row r="1029" spans="1:1" x14ac:dyDescent="0.25">
      <c r="A1029" t="s">
        <v>753</v>
      </c>
    </row>
    <row r="1030" spans="1:1" x14ac:dyDescent="0.25">
      <c r="A1030" t="s">
        <v>754</v>
      </c>
    </row>
    <row r="1031" spans="1:1" x14ac:dyDescent="0.25">
      <c r="A1031" t="s">
        <v>755</v>
      </c>
    </row>
    <row r="1032" spans="1:1" x14ac:dyDescent="0.25">
      <c r="A1032" t="s">
        <v>756</v>
      </c>
    </row>
    <row r="1033" spans="1:1" x14ac:dyDescent="0.25">
      <c r="A1033" t="s">
        <v>757</v>
      </c>
    </row>
    <row r="1034" spans="1:1" x14ac:dyDescent="0.25">
      <c r="A1034" t="s">
        <v>758</v>
      </c>
    </row>
    <row r="1036" spans="1:1" x14ac:dyDescent="0.25">
      <c r="A1036" t="s">
        <v>759</v>
      </c>
    </row>
    <row r="1037" spans="1:1" x14ac:dyDescent="0.25">
      <c r="A1037" t="s">
        <v>760</v>
      </c>
    </row>
    <row r="1038" spans="1:1" x14ac:dyDescent="0.25">
      <c r="A1038" t="s">
        <v>761</v>
      </c>
    </row>
    <row r="1039" spans="1:1" x14ac:dyDescent="0.25">
      <c r="A1039" t="s">
        <v>762</v>
      </c>
    </row>
    <row r="1040" spans="1:1" x14ac:dyDescent="0.25">
      <c r="A1040" t="s">
        <v>763</v>
      </c>
    </row>
    <row r="1041" spans="1:1" x14ac:dyDescent="0.25">
      <c r="A1041" t="s">
        <v>764</v>
      </c>
    </row>
    <row r="1042" spans="1:1" x14ac:dyDescent="0.25">
      <c r="A1042" t="s">
        <v>765</v>
      </c>
    </row>
    <row r="1044" spans="1:1" x14ac:dyDescent="0.25">
      <c r="A1044" t="s">
        <v>766</v>
      </c>
    </row>
    <row r="1045" spans="1:1" x14ac:dyDescent="0.25">
      <c r="A1045" t="s">
        <v>767</v>
      </c>
    </row>
    <row r="1046" spans="1:1" x14ac:dyDescent="0.25">
      <c r="A1046" t="s">
        <v>768</v>
      </c>
    </row>
    <row r="1047" spans="1:1" x14ac:dyDescent="0.25">
      <c r="A1047" t="s">
        <v>769</v>
      </c>
    </row>
    <row r="1048" spans="1:1" x14ac:dyDescent="0.25">
      <c r="A1048" t="s">
        <v>770</v>
      </c>
    </row>
    <row r="1049" spans="1:1" x14ac:dyDescent="0.25">
      <c r="A1049" t="s">
        <v>771</v>
      </c>
    </row>
    <row r="1050" spans="1:1" x14ac:dyDescent="0.25">
      <c r="A1050" t="s">
        <v>772</v>
      </c>
    </row>
    <row r="1051" spans="1:1" x14ac:dyDescent="0.25">
      <c r="A1051" t="s">
        <v>773</v>
      </c>
    </row>
    <row r="1052" spans="1:1" x14ac:dyDescent="0.25">
      <c r="A1052" t="s">
        <v>774</v>
      </c>
    </row>
    <row r="1053" spans="1:1" x14ac:dyDescent="0.25">
      <c r="A1053" t="s">
        <v>775</v>
      </c>
    </row>
    <row r="1054" spans="1:1" x14ac:dyDescent="0.25">
      <c r="A1054" t="s">
        <v>776</v>
      </c>
    </row>
    <row r="1055" spans="1:1" x14ac:dyDescent="0.25">
      <c r="A1055" t="s">
        <v>777</v>
      </c>
    </row>
    <row r="1056" spans="1:1" x14ac:dyDescent="0.25">
      <c r="A1056" t="s">
        <v>778</v>
      </c>
    </row>
    <row r="1057" spans="1:1" x14ac:dyDescent="0.25">
      <c r="A1057" t="s">
        <v>779</v>
      </c>
    </row>
    <row r="1058" spans="1:1" x14ac:dyDescent="0.25">
      <c r="A1058" t="s">
        <v>780</v>
      </c>
    </row>
    <row r="1059" spans="1:1" x14ac:dyDescent="0.25">
      <c r="A1059" t="s">
        <v>21</v>
      </c>
    </row>
    <row r="1061" spans="1:1" x14ac:dyDescent="0.25">
      <c r="A1061" t="s">
        <v>781</v>
      </c>
    </row>
    <row r="1062" spans="1:1" x14ac:dyDescent="0.25">
      <c r="A1062" t="s">
        <v>782</v>
      </c>
    </row>
    <row r="1063" spans="1:1" x14ac:dyDescent="0.25">
      <c r="A1063" t="s">
        <v>783</v>
      </c>
    </row>
    <row r="1064" spans="1:1" x14ac:dyDescent="0.25">
      <c r="A1064" t="s">
        <v>784</v>
      </c>
    </row>
    <row r="1065" spans="1:1" x14ac:dyDescent="0.25">
      <c r="A1065" t="s">
        <v>209</v>
      </c>
    </row>
    <row r="1066" spans="1:1" x14ac:dyDescent="0.25">
      <c r="A1066" t="s">
        <v>785</v>
      </c>
    </row>
    <row r="1067" spans="1:1" x14ac:dyDescent="0.25">
      <c r="A1067" t="s">
        <v>786</v>
      </c>
    </row>
    <row r="1068" spans="1:1" x14ac:dyDescent="0.25">
      <c r="A1068" t="s">
        <v>787</v>
      </c>
    </row>
    <row r="1069" spans="1:1" x14ac:dyDescent="0.25">
      <c r="A1069" t="s">
        <v>788</v>
      </c>
    </row>
    <row r="1070" spans="1:1" x14ac:dyDescent="0.25">
      <c r="A1070" t="s">
        <v>789</v>
      </c>
    </row>
    <row r="1071" spans="1:1" x14ac:dyDescent="0.25">
      <c r="A1071" t="s">
        <v>268</v>
      </c>
    </row>
    <row r="1072" spans="1:1" x14ac:dyDescent="0.25">
      <c r="A1072" t="s">
        <v>790</v>
      </c>
    </row>
    <row r="1073" spans="1:1" x14ac:dyDescent="0.25">
      <c r="A1073" t="s">
        <v>791</v>
      </c>
    </row>
    <row r="1074" spans="1:1" x14ac:dyDescent="0.25">
      <c r="A1074" t="s">
        <v>168</v>
      </c>
    </row>
    <row r="1075" spans="1:1" x14ac:dyDescent="0.25">
      <c r="A1075" t="s">
        <v>21</v>
      </c>
    </row>
    <row r="1078" spans="1:1" x14ac:dyDescent="0.25">
      <c r="A1078" t="s">
        <v>792</v>
      </c>
    </row>
    <row r="1079" spans="1:1" x14ac:dyDescent="0.25">
      <c r="A1079" t="s">
        <v>494</v>
      </c>
    </row>
    <row r="1080" spans="1:1" x14ac:dyDescent="0.25">
      <c r="A1080" t="s">
        <v>495</v>
      </c>
    </row>
    <row r="1081" spans="1:1" x14ac:dyDescent="0.25">
      <c r="A1081" t="s">
        <v>793</v>
      </c>
    </row>
    <row r="1082" spans="1:1" x14ac:dyDescent="0.25">
      <c r="A1082" t="s">
        <v>794</v>
      </c>
    </row>
    <row r="1083" spans="1:1" x14ac:dyDescent="0.25">
      <c r="A1083" t="s">
        <v>795</v>
      </c>
    </row>
    <row r="1084" spans="1:1" x14ac:dyDescent="0.25">
      <c r="A1084" t="s">
        <v>796</v>
      </c>
    </row>
    <row r="1085" spans="1:1" x14ac:dyDescent="0.25">
      <c r="A1085" t="s">
        <v>278</v>
      </c>
    </row>
    <row r="1086" spans="1:1" x14ac:dyDescent="0.25">
      <c r="A1086" t="s">
        <v>21</v>
      </c>
    </row>
    <row r="1088" spans="1:1" x14ac:dyDescent="0.25">
      <c r="A1088" t="s">
        <v>298</v>
      </c>
    </row>
    <row r="1089" spans="1:1" x14ac:dyDescent="0.25">
      <c r="A1089" t="s">
        <v>494</v>
      </c>
    </row>
    <row r="1090" spans="1:1" x14ac:dyDescent="0.25">
      <c r="A1090" t="s">
        <v>495</v>
      </c>
    </row>
    <row r="1091" spans="1:1" x14ac:dyDescent="0.25">
      <c r="A1091" t="s">
        <v>797</v>
      </c>
    </row>
    <row r="1092" spans="1:1" x14ac:dyDescent="0.25">
      <c r="A1092" t="s">
        <v>798</v>
      </c>
    </row>
    <row r="1093" spans="1:1" x14ac:dyDescent="0.25">
      <c r="A1093" t="s">
        <v>799</v>
      </c>
    </row>
    <row r="1094" spans="1:1" x14ac:dyDescent="0.25">
      <c r="A1094" t="s">
        <v>795</v>
      </c>
    </row>
    <row r="1095" spans="1:1" x14ac:dyDescent="0.25">
      <c r="A1095" t="s">
        <v>796</v>
      </c>
    </row>
    <row r="1096" spans="1:1" x14ac:dyDescent="0.25">
      <c r="A1096" t="s">
        <v>278</v>
      </c>
    </row>
    <row r="1097" spans="1:1" x14ac:dyDescent="0.25">
      <c r="A1097" t="s">
        <v>21</v>
      </c>
    </row>
    <row r="1100" spans="1:1" x14ac:dyDescent="0.25">
      <c r="A1100" t="s">
        <v>800</v>
      </c>
    </row>
    <row r="1101" spans="1:1" x14ac:dyDescent="0.25">
      <c r="A1101" t="s">
        <v>801</v>
      </c>
    </row>
    <row r="1102" spans="1:1" x14ac:dyDescent="0.25">
      <c r="A1102" t="s">
        <v>802</v>
      </c>
    </row>
    <row r="1103" spans="1:1" x14ac:dyDescent="0.25">
      <c r="A1103" t="s">
        <v>803</v>
      </c>
    </row>
    <row r="1104" spans="1:1" x14ac:dyDescent="0.25">
      <c r="A1104" t="s">
        <v>804</v>
      </c>
    </row>
    <row r="1105" spans="1:1" x14ac:dyDescent="0.25">
      <c r="A1105" t="s">
        <v>495</v>
      </c>
    </row>
    <row r="1106" spans="1:1" x14ac:dyDescent="0.25">
      <c r="A1106" t="s">
        <v>805</v>
      </c>
    </row>
    <row r="1107" spans="1:1" x14ac:dyDescent="0.25">
      <c r="A1107" t="s">
        <v>278</v>
      </c>
    </row>
    <row r="1108" spans="1:1" x14ac:dyDescent="0.25">
      <c r="A1108" t="s">
        <v>21</v>
      </c>
    </row>
    <row r="1110" spans="1:1" x14ac:dyDescent="0.25">
      <c r="A1110" t="s">
        <v>806</v>
      </c>
    </row>
    <row r="1111" spans="1:1" x14ac:dyDescent="0.25">
      <c r="A1111" t="s">
        <v>807</v>
      </c>
    </row>
    <row r="1112" spans="1:1" x14ac:dyDescent="0.25">
      <c r="A1112" t="s">
        <v>808</v>
      </c>
    </row>
    <row r="1113" spans="1:1" x14ac:dyDescent="0.25">
      <c r="A1113" t="s">
        <v>809</v>
      </c>
    </row>
    <row r="1114" spans="1:1" x14ac:dyDescent="0.25">
      <c r="A1114" t="s">
        <v>810</v>
      </c>
    </row>
    <row r="1115" spans="1:1" x14ac:dyDescent="0.25">
      <c r="A1115" t="s">
        <v>811</v>
      </c>
    </row>
    <row r="1116" spans="1:1" x14ac:dyDescent="0.25">
      <c r="A1116" t="s">
        <v>398</v>
      </c>
    </row>
    <row r="1117" spans="1:1" x14ac:dyDescent="0.25">
      <c r="A1117" t="s">
        <v>812</v>
      </c>
    </row>
    <row r="1118" spans="1:1" x14ac:dyDescent="0.25">
      <c r="A1118" t="s">
        <v>21</v>
      </c>
    </row>
    <row r="1120" spans="1:1" x14ac:dyDescent="0.25">
      <c r="A1120" t="s">
        <v>813</v>
      </c>
    </row>
    <row r="1121" spans="1:1" x14ac:dyDescent="0.25">
      <c r="A1121" t="s">
        <v>814</v>
      </c>
    </row>
    <row r="1122" spans="1:1" x14ac:dyDescent="0.25">
      <c r="A1122" t="s">
        <v>815</v>
      </c>
    </row>
    <row r="1123" spans="1:1" x14ac:dyDescent="0.25">
      <c r="A1123" t="s">
        <v>495</v>
      </c>
    </row>
    <row r="1124" spans="1:1" x14ac:dyDescent="0.25">
      <c r="A1124" t="s">
        <v>816</v>
      </c>
    </row>
    <row r="1125" spans="1:1" x14ac:dyDescent="0.25">
      <c r="A1125" t="s">
        <v>817</v>
      </c>
    </row>
    <row r="1126" spans="1:1" x14ac:dyDescent="0.25">
      <c r="A1126" t="s">
        <v>818</v>
      </c>
    </row>
    <row r="1127" spans="1:1" x14ac:dyDescent="0.25">
      <c r="A1127" t="s">
        <v>819</v>
      </c>
    </row>
    <row r="1128" spans="1:1" x14ac:dyDescent="0.25">
      <c r="A1128" t="s">
        <v>278</v>
      </c>
    </row>
    <row r="1129" spans="1:1" x14ac:dyDescent="0.25">
      <c r="A1129" t="s">
        <v>21</v>
      </c>
    </row>
    <row r="1132" spans="1:1" x14ac:dyDescent="0.25">
      <c r="A1132" t="s">
        <v>820</v>
      </c>
    </row>
    <row r="1133" spans="1:1" x14ac:dyDescent="0.25">
      <c r="A1133" t="s">
        <v>821</v>
      </c>
    </row>
    <row r="1134" spans="1:1" x14ac:dyDescent="0.25">
      <c r="A1134" t="s">
        <v>822</v>
      </c>
    </row>
    <row r="1135" spans="1:1" x14ac:dyDescent="0.25">
      <c r="A1135" t="s">
        <v>823</v>
      </c>
    </row>
    <row r="1136" spans="1:1" x14ac:dyDescent="0.25">
      <c r="A1136" t="s">
        <v>824</v>
      </c>
    </row>
    <row r="1137" spans="1:1" x14ac:dyDescent="0.25">
      <c r="A1137" t="s">
        <v>825</v>
      </c>
    </row>
    <row r="1138" spans="1:1" x14ac:dyDescent="0.25">
      <c r="A1138" t="s">
        <v>160</v>
      </c>
    </row>
    <row r="1139" spans="1:1" x14ac:dyDescent="0.25">
      <c r="A1139" t="s">
        <v>826</v>
      </c>
    </row>
    <row r="1140" spans="1:1" x14ac:dyDescent="0.25">
      <c r="A1140" t="s">
        <v>827</v>
      </c>
    </row>
    <row r="1141" spans="1:1" x14ac:dyDescent="0.25">
      <c r="A1141" t="s">
        <v>828</v>
      </c>
    </row>
    <row r="1142" spans="1:1" x14ac:dyDescent="0.25">
      <c r="A1142" t="s">
        <v>262</v>
      </c>
    </row>
    <row r="1143" spans="1:1" x14ac:dyDescent="0.25">
      <c r="A1143" t="s">
        <v>168</v>
      </c>
    </row>
    <row r="1144" spans="1:1" x14ac:dyDescent="0.25">
      <c r="A1144" t="s">
        <v>21</v>
      </c>
    </row>
    <row r="1146" spans="1:1" x14ac:dyDescent="0.25">
      <c r="A1146" t="s">
        <v>829</v>
      </c>
    </row>
    <row r="1147" spans="1:1" x14ac:dyDescent="0.25">
      <c r="A1147" t="s">
        <v>830</v>
      </c>
    </row>
    <row r="1148" spans="1:1" x14ac:dyDescent="0.25">
      <c r="A1148" t="s">
        <v>831</v>
      </c>
    </row>
    <row r="1149" spans="1:1" x14ac:dyDescent="0.25">
      <c r="A1149" t="s">
        <v>168</v>
      </c>
    </row>
    <row r="1150" spans="1:1" x14ac:dyDescent="0.25">
      <c r="A1150" t="s">
        <v>21</v>
      </c>
    </row>
    <row r="1152" spans="1:1" x14ac:dyDescent="0.25">
      <c r="A1152" t="s">
        <v>832</v>
      </c>
    </row>
    <row r="1153" spans="1:1" x14ac:dyDescent="0.25">
      <c r="A1153" t="s">
        <v>833</v>
      </c>
    </row>
    <row r="1154" spans="1:1" x14ac:dyDescent="0.25">
      <c r="A1154" t="s">
        <v>834</v>
      </c>
    </row>
    <row r="1155" spans="1:1" x14ac:dyDescent="0.25">
      <c r="A1155" t="s">
        <v>835</v>
      </c>
    </row>
    <row r="1156" spans="1:1" x14ac:dyDescent="0.25">
      <c r="A1156" t="s">
        <v>836</v>
      </c>
    </row>
    <row r="1157" spans="1:1" x14ac:dyDescent="0.25">
      <c r="A1157" t="s">
        <v>837</v>
      </c>
    </row>
    <row r="1158" spans="1:1" x14ac:dyDescent="0.25">
      <c r="A1158" t="s">
        <v>838</v>
      </c>
    </row>
    <row r="1159" spans="1:1" x14ac:dyDescent="0.25">
      <c r="A1159" t="s">
        <v>839</v>
      </c>
    </row>
    <row r="1160" spans="1:1" x14ac:dyDescent="0.25">
      <c r="A1160" t="s">
        <v>21</v>
      </c>
    </row>
    <row r="1161" spans="1:1" x14ac:dyDescent="0.25">
      <c r="A1161" t="s">
        <v>840</v>
      </c>
    </row>
    <row r="1162" spans="1:1" x14ac:dyDescent="0.25">
      <c r="A1162" t="s">
        <v>841</v>
      </c>
    </row>
    <row r="1163" spans="1:1" x14ac:dyDescent="0.25">
      <c r="A1163" t="s">
        <v>842</v>
      </c>
    </row>
    <row r="1164" spans="1:1" x14ac:dyDescent="0.25">
      <c r="A1164" t="s">
        <v>843</v>
      </c>
    </row>
    <row r="1165" spans="1:1" x14ac:dyDescent="0.25">
      <c r="A1165" t="s">
        <v>844</v>
      </c>
    </row>
    <row r="1166" spans="1:1" x14ac:dyDescent="0.25">
      <c r="A1166" t="s">
        <v>845</v>
      </c>
    </row>
    <row r="1167" spans="1:1" x14ac:dyDescent="0.25">
      <c r="A1167" t="s">
        <v>846</v>
      </c>
    </row>
    <row r="1168" spans="1:1" x14ac:dyDescent="0.25">
      <c r="A1168" t="s">
        <v>847</v>
      </c>
    </row>
    <row r="1169" spans="1:1" x14ac:dyDescent="0.25">
      <c r="A1169" t="s">
        <v>848</v>
      </c>
    </row>
    <row r="1170" spans="1:1" x14ac:dyDescent="0.25">
      <c r="A1170" t="s">
        <v>849</v>
      </c>
    </row>
    <row r="1171" spans="1:1" x14ac:dyDescent="0.25">
      <c r="A1171" t="s">
        <v>850</v>
      </c>
    </row>
    <row r="1172" spans="1:1" x14ac:dyDescent="0.25">
      <c r="A1172" t="s">
        <v>262</v>
      </c>
    </row>
    <row r="1173" spans="1:1" x14ac:dyDescent="0.25">
      <c r="A1173" t="s">
        <v>21</v>
      </c>
    </row>
    <row r="1175" spans="1:1" x14ac:dyDescent="0.25">
      <c r="A1175" t="s">
        <v>851</v>
      </c>
    </row>
    <row r="1176" spans="1:1" x14ac:dyDescent="0.25">
      <c r="A1176" t="s">
        <v>842</v>
      </c>
    </row>
    <row r="1177" spans="1:1" x14ac:dyDescent="0.25">
      <c r="A1177" t="s">
        <v>843</v>
      </c>
    </row>
    <row r="1178" spans="1:1" x14ac:dyDescent="0.25">
      <c r="A1178" t="s">
        <v>844</v>
      </c>
    </row>
    <row r="1179" spans="1:1" x14ac:dyDescent="0.25">
      <c r="A1179" t="s">
        <v>845</v>
      </c>
    </row>
    <row r="1180" spans="1:1" x14ac:dyDescent="0.25">
      <c r="A1180" t="s">
        <v>852</v>
      </c>
    </row>
    <row r="1181" spans="1:1" x14ac:dyDescent="0.25">
      <c r="A1181" t="s">
        <v>853</v>
      </c>
    </row>
    <row r="1182" spans="1:1" x14ac:dyDescent="0.25">
      <c r="A1182" t="s">
        <v>854</v>
      </c>
    </row>
    <row r="1183" spans="1:1" x14ac:dyDescent="0.25">
      <c r="A1183" t="s">
        <v>855</v>
      </c>
    </row>
    <row r="1184" spans="1:1" x14ac:dyDescent="0.25">
      <c r="A1184" t="s">
        <v>262</v>
      </c>
    </row>
    <row r="1185" spans="1:1" x14ac:dyDescent="0.25">
      <c r="A1185" t="s">
        <v>21</v>
      </c>
    </row>
    <row r="1188" spans="1:1" x14ac:dyDescent="0.25">
      <c r="A1188" t="s">
        <v>856</v>
      </c>
    </row>
    <row r="1196" spans="1:1" x14ac:dyDescent="0.25">
      <c r="A1196" t="s">
        <v>857</v>
      </c>
    </row>
    <row r="1197" spans="1:1" x14ac:dyDescent="0.25">
      <c r="A1197" t="s">
        <v>858</v>
      </c>
    </row>
    <row r="1198" spans="1:1" x14ac:dyDescent="0.25">
      <c r="A1198" t="s">
        <v>835</v>
      </c>
    </row>
    <row r="1199" spans="1:1" x14ac:dyDescent="0.25">
      <c r="A1199" t="s">
        <v>859</v>
      </c>
    </row>
    <row r="1200" spans="1:1" x14ac:dyDescent="0.25">
      <c r="A1200" t="s">
        <v>860</v>
      </c>
    </row>
    <row r="1201" spans="1:1" x14ac:dyDescent="0.25">
      <c r="A1201" t="s">
        <v>861</v>
      </c>
    </row>
    <row r="1202" spans="1:1" x14ac:dyDescent="0.25">
      <c r="A1202" t="s">
        <v>846</v>
      </c>
    </row>
    <row r="1203" spans="1:1" x14ac:dyDescent="0.25">
      <c r="A1203" t="s">
        <v>862</v>
      </c>
    </row>
    <row r="1204" spans="1:1" x14ac:dyDescent="0.25">
      <c r="A1204" t="s">
        <v>863</v>
      </c>
    </row>
    <row r="1205" spans="1:1" x14ac:dyDescent="0.25">
      <c r="A1205" t="s">
        <v>864</v>
      </c>
    </row>
    <row r="1206" spans="1:1" x14ac:dyDescent="0.25">
      <c r="A1206" t="s">
        <v>865</v>
      </c>
    </row>
    <row r="1207" spans="1:1" x14ac:dyDescent="0.25">
      <c r="A1207" t="s">
        <v>861</v>
      </c>
    </row>
    <row r="1208" spans="1:1" x14ac:dyDescent="0.25">
      <c r="A1208" t="s">
        <v>866</v>
      </c>
    </row>
    <row r="1209" spans="1:1" x14ac:dyDescent="0.25">
      <c r="A1209" t="s">
        <v>262</v>
      </c>
    </row>
    <row r="1210" spans="1:1" x14ac:dyDescent="0.25">
      <c r="A1210" t="s">
        <v>21</v>
      </c>
    </row>
    <row r="1212" spans="1:1" x14ac:dyDescent="0.25">
      <c r="A1212" t="s">
        <v>867</v>
      </c>
    </row>
    <row r="1213" spans="1:1" x14ac:dyDescent="0.25">
      <c r="A1213" t="s">
        <v>868</v>
      </c>
    </row>
    <row r="1214" spans="1:1" x14ac:dyDescent="0.25">
      <c r="A1214" t="s">
        <v>21</v>
      </c>
    </row>
    <row r="1215" spans="1:1" x14ac:dyDescent="0.25">
      <c r="A1215" t="s">
        <v>869</v>
      </c>
    </row>
    <row r="1216" spans="1:1" x14ac:dyDescent="0.25">
      <c r="A1216" t="s">
        <v>870</v>
      </c>
    </row>
    <row r="1217" spans="1:1" x14ac:dyDescent="0.25">
      <c r="A1217" t="s">
        <v>21</v>
      </c>
    </row>
    <row r="1218" spans="1:1" x14ac:dyDescent="0.25">
      <c r="A1218" t="s">
        <v>871</v>
      </c>
    </row>
    <row r="1219" spans="1:1" x14ac:dyDescent="0.25">
      <c r="A1219" t="s">
        <v>872</v>
      </c>
    </row>
    <row r="1220" spans="1:1" x14ac:dyDescent="0.25">
      <c r="A1220" t="s">
        <v>21</v>
      </c>
    </row>
    <row r="1221" spans="1:1" x14ac:dyDescent="0.25">
      <c r="A1221" t="s">
        <v>873</v>
      </c>
    </row>
    <row r="1222" spans="1:1" x14ac:dyDescent="0.25">
      <c r="A1222" t="s">
        <v>874</v>
      </c>
    </row>
    <row r="1223" spans="1:1" x14ac:dyDescent="0.25">
      <c r="A1223" t="s">
        <v>21</v>
      </c>
    </row>
    <row r="1226" spans="1:1" x14ac:dyDescent="0.25">
      <c r="A1226" t="s">
        <v>875</v>
      </c>
    </row>
    <row r="1227" spans="1:1" x14ac:dyDescent="0.25">
      <c r="A1227" t="s">
        <v>876</v>
      </c>
    </row>
    <row r="1228" spans="1:1" x14ac:dyDescent="0.25">
      <c r="A1228" t="s">
        <v>21</v>
      </c>
    </row>
    <row r="1230" spans="1:1" x14ac:dyDescent="0.25">
      <c r="A1230" t="s">
        <v>877</v>
      </c>
    </row>
    <row r="1231" spans="1:1" x14ac:dyDescent="0.25">
      <c r="A1231" t="s">
        <v>878</v>
      </c>
    </row>
    <row r="1232" spans="1:1" x14ac:dyDescent="0.25">
      <c r="A1232" t="s">
        <v>879</v>
      </c>
    </row>
    <row r="1233" spans="1:1" x14ac:dyDescent="0.25">
      <c r="A1233" t="s">
        <v>160</v>
      </c>
    </row>
    <row r="1234" spans="1:1" x14ac:dyDescent="0.25">
      <c r="A1234" t="s">
        <v>880</v>
      </c>
    </row>
    <row r="1235" spans="1:1" x14ac:dyDescent="0.25">
      <c r="A1235" t="s">
        <v>881</v>
      </c>
    </row>
    <row r="1236" spans="1:1" x14ac:dyDescent="0.25">
      <c r="A1236" t="s">
        <v>168</v>
      </c>
    </row>
    <row r="1237" spans="1:1" x14ac:dyDescent="0.25">
      <c r="A1237" t="s">
        <v>21</v>
      </c>
    </row>
    <row r="1239" spans="1:1" x14ac:dyDescent="0.25">
      <c r="A1239" t="s">
        <v>882</v>
      </c>
    </row>
    <row r="1240" spans="1:1" x14ac:dyDescent="0.25">
      <c r="A1240" t="s">
        <v>883</v>
      </c>
    </row>
    <row r="1241" spans="1:1" x14ac:dyDescent="0.25">
      <c r="A1241" t="s">
        <v>884</v>
      </c>
    </row>
    <row r="1242" spans="1:1" x14ac:dyDescent="0.25">
      <c r="A1242" t="s">
        <v>885</v>
      </c>
    </row>
    <row r="1243" spans="1:1" x14ac:dyDescent="0.25">
      <c r="A1243" t="s">
        <v>168</v>
      </c>
    </row>
    <row r="1244" spans="1:1" x14ac:dyDescent="0.25">
      <c r="A1244" t="s">
        <v>886</v>
      </c>
    </row>
    <row r="1245" spans="1:1" x14ac:dyDescent="0.25">
      <c r="A1245" t="s">
        <v>887</v>
      </c>
    </row>
    <row r="1246" spans="1:1" x14ac:dyDescent="0.25">
      <c r="A1246" t="s">
        <v>583</v>
      </c>
    </row>
    <row r="1247" spans="1:1" x14ac:dyDescent="0.25">
      <c r="A1247" t="s">
        <v>888</v>
      </c>
    </row>
    <row r="1248" spans="1:1" x14ac:dyDescent="0.25">
      <c r="A1248" t="s">
        <v>889</v>
      </c>
    </row>
    <row r="1249" spans="1:1" x14ac:dyDescent="0.25">
      <c r="A1249" t="s">
        <v>890</v>
      </c>
    </row>
    <row r="1250" spans="1:1" x14ac:dyDescent="0.25">
      <c r="A1250" t="s">
        <v>21</v>
      </c>
    </row>
    <row r="1251" spans="1:1" x14ac:dyDescent="0.25">
      <c r="A1251" t="s">
        <v>891</v>
      </c>
    </row>
    <row r="1252" spans="1:1" x14ac:dyDescent="0.25">
      <c r="A1252" t="s">
        <v>883</v>
      </c>
    </row>
    <row r="1253" spans="1:1" x14ac:dyDescent="0.25">
      <c r="A1253" t="s">
        <v>884</v>
      </c>
    </row>
    <row r="1254" spans="1:1" x14ac:dyDescent="0.25">
      <c r="A1254" t="s">
        <v>892</v>
      </c>
    </row>
    <row r="1255" spans="1:1" x14ac:dyDescent="0.25">
      <c r="A1255" t="s">
        <v>168</v>
      </c>
    </row>
    <row r="1256" spans="1:1" x14ac:dyDescent="0.25">
      <c r="A1256" t="s">
        <v>886</v>
      </c>
    </row>
    <row r="1257" spans="1:1" x14ac:dyDescent="0.25">
      <c r="A1257" t="s">
        <v>893</v>
      </c>
    </row>
    <row r="1258" spans="1:1" x14ac:dyDescent="0.25">
      <c r="A1258" t="s">
        <v>583</v>
      </c>
    </row>
    <row r="1259" spans="1:1" x14ac:dyDescent="0.25">
      <c r="A1259" t="s">
        <v>888</v>
      </c>
    </row>
    <row r="1260" spans="1:1" x14ac:dyDescent="0.25">
      <c r="A1260" t="s">
        <v>894</v>
      </c>
    </row>
    <row r="1261" spans="1:1" x14ac:dyDescent="0.25">
      <c r="A1261" t="s">
        <v>890</v>
      </c>
    </row>
    <row r="1262" spans="1:1" x14ac:dyDescent="0.25">
      <c r="A1262" t="s">
        <v>21</v>
      </c>
    </row>
    <row r="1265" spans="1:1" x14ac:dyDescent="0.25">
      <c r="A1265" t="s">
        <v>562</v>
      </c>
    </row>
    <row r="1266" spans="1:1" x14ac:dyDescent="0.25">
      <c r="A1266" t="s">
        <v>563</v>
      </c>
    </row>
    <row r="1267" spans="1:1" x14ac:dyDescent="0.25">
      <c r="A1267" t="s">
        <v>564</v>
      </c>
    </row>
    <row r="1268" spans="1:1" x14ac:dyDescent="0.25">
      <c r="A1268" t="s">
        <v>895</v>
      </c>
    </row>
    <row r="1269" spans="1:1" x14ac:dyDescent="0.25">
      <c r="A1269" t="s">
        <v>565</v>
      </c>
    </row>
    <row r="1270" spans="1:1" x14ac:dyDescent="0.25">
      <c r="A1270" t="s">
        <v>896</v>
      </c>
    </row>
    <row r="1271" spans="1:1" x14ac:dyDescent="0.25">
      <c r="A1271" t="s">
        <v>897</v>
      </c>
    </row>
    <row r="1272" spans="1:1" x14ac:dyDescent="0.25">
      <c r="A1272" t="s">
        <v>566</v>
      </c>
    </row>
    <row r="1273" spans="1:1" x14ac:dyDescent="0.25">
      <c r="A1273" t="s">
        <v>898</v>
      </c>
    </row>
    <row r="1274" spans="1:1" x14ac:dyDescent="0.25">
      <c r="A1274" t="s">
        <v>899</v>
      </c>
    </row>
    <row r="1275" spans="1:1" x14ac:dyDescent="0.25">
      <c r="A1275" t="s">
        <v>567</v>
      </c>
    </row>
    <row r="1276" spans="1:1" x14ac:dyDescent="0.25">
      <c r="A1276" t="s">
        <v>568</v>
      </c>
    </row>
    <row r="1277" spans="1:1" x14ac:dyDescent="0.25">
      <c r="A1277" t="s">
        <v>168</v>
      </c>
    </row>
    <row r="1278" spans="1:1" x14ac:dyDescent="0.25">
      <c r="A1278" t="s">
        <v>569</v>
      </c>
    </row>
    <row r="1279" spans="1:1" x14ac:dyDescent="0.25">
      <c r="A1279" t="s">
        <v>570</v>
      </c>
    </row>
    <row r="1280" spans="1:1" x14ac:dyDescent="0.25">
      <c r="A1280" t="s">
        <v>571</v>
      </c>
    </row>
    <row r="1281" spans="1:1" x14ac:dyDescent="0.25">
      <c r="A1281" t="s">
        <v>572</v>
      </c>
    </row>
    <row r="1282" spans="1:1" x14ac:dyDescent="0.25">
      <c r="A1282" t="s">
        <v>573</v>
      </c>
    </row>
    <row r="1283" spans="1:1" x14ac:dyDescent="0.25">
      <c r="A1283" t="s">
        <v>574</v>
      </c>
    </row>
    <row r="1284" spans="1:1" x14ac:dyDescent="0.25">
      <c r="A1284" t="s">
        <v>575</v>
      </c>
    </row>
    <row r="1285" spans="1:1" x14ac:dyDescent="0.25">
      <c r="A1285" t="s">
        <v>576</v>
      </c>
    </row>
    <row r="1286" spans="1:1" x14ac:dyDescent="0.25">
      <c r="A1286" t="s">
        <v>577</v>
      </c>
    </row>
    <row r="1287" spans="1:1" x14ac:dyDescent="0.25">
      <c r="A1287" t="s">
        <v>578</v>
      </c>
    </row>
    <row r="1288" spans="1:1" x14ac:dyDescent="0.25">
      <c r="A1288" t="s">
        <v>579</v>
      </c>
    </row>
    <row r="1289" spans="1:1" x14ac:dyDescent="0.25">
      <c r="A1289" t="s">
        <v>580</v>
      </c>
    </row>
    <row r="1290" spans="1:1" x14ac:dyDescent="0.25">
      <c r="A1290" t="s">
        <v>581</v>
      </c>
    </row>
    <row r="1291" spans="1:1" x14ac:dyDescent="0.25">
      <c r="A1291" t="s">
        <v>582</v>
      </c>
    </row>
    <row r="1292" spans="1:1" x14ac:dyDescent="0.25">
      <c r="A1292" t="s">
        <v>268</v>
      </c>
    </row>
    <row r="1293" spans="1:1" x14ac:dyDescent="0.25">
      <c r="A1293" t="s">
        <v>583</v>
      </c>
    </row>
    <row r="1294" spans="1:1" x14ac:dyDescent="0.25">
      <c r="A1294" t="s">
        <v>21</v>
      </c>
    </row>
    <row r="1296" spans="1:1" x14ac:dyDescent="0.25">
      <c r="A1296" t="s">
        <v>562</v>
      </c>
    </row>
    <row r="1297" spans="1:1" x14ac:dyDescent="0.25">
      <c r="A1297" t="s">
        <v>563</v>
      </c>
    </row>
    <row r="1298" spans="1:1" x14ac:dyDescent="0.25">
      <c r="A1298" t="s">
        <v>564</v>
      </c>
    </row>
    <row r="1299" spans="1:1" x14ac:dyDescent="0.25">
      <c r="A1299" t="s">
        <v>895</v>
      </c>
    </row>
    <row r="1300" spans="1:1" x14ac:dyDescent="0.25">
      <c r="A1300" t="s">
        <v>565</v>
      </c>
    </row>
    <row r="1301" spans="1:1" x14ac:dyDescent="0.25">
      <c r="A1301" t="s">
        <v>896</v>
      </c>
    </row>
    <row r="1302" spans="1:1" x14ac:dyDescent="0.25">
      <c r="A1302" t="s">
        <v>897</v>
      </c>
    </row>
    <row r="1303" spans="1:1" x14ac:dyDescent="0.25">
      <c r="A1303" t="s">
        <v>566</v>
      </c>
    </row>
    <row r="1304" spans="1:1" x14ac:dyDescent="0.25">
      <c r="A1304" t="s">
        <v>898</v>
      </c>
    </row>
    <row r="1305" spans="1:1" x14ac:dyDescent="0.25">
      <c r="A1305" t="s">
        <v>899</v>
      </c>
    </row>
    <row r="1306" spans="1:1" x14ac:dyDescent="0.25">
      <c r="A1306" t="s">
        <v>567</v>
      </c>
    </row>
    <row r="1307" spans="1:1" x14ac:dyDescent="0.25">
      <c r="A1307" t="s">
        <v>568</v>
      </c>
    </row>
    <row r="1308" spans="1:1" x14ac:dyDescent="0.25">
      <c r="A1308" t="s">
        <v>168</v>
      </c>
    </row>
    <row r="1309" spans="1:1" x14ac:dyDescent="0.25">
      <c r="A1309" t="s">
        <v>569</v>
      </c>
    </row>
    <row r="1310" spans="1:1" x14ac:dyDescent="0.25">
      <c r="A1310" t="s">
        <v>570</v>
      </c>
    </row>
    <row r="1311" spans="1:1" x14ac:dyDescent="0.25">
      <c r="A1311" t="s">
        <v>571</v>
      </c>
    </row>
    <row r="1312" spans="1:1" x14ac:dyDescent="0.25">
      <c r="A1312" t="s">
        <v>572</v>
      </c>
    </row>
    <row r="1313" spans="1:1" x14ac:dyDescent="0.25">
      <c r="A1313" t="s">
        <v>573</v>
      </c>
    </row>
    <row r="1314" spans="1:1" x14ac:dyDescent="0.25">
      <c r="A1314" t="s">
        <v>574</v>
      </c>
    </row>
    <row r="1315" spans="1:1" x14ac:dyDescent="0.25">
      <c r="A1315" t="s">
        <v>575</v>
      </c>
    </row>
    <row r="1316" spans="1:1" x14ac:dyDescent="0.25">
      <c r="A1316" t="s">
        <v>576</v>
      </c>
    </row>
    <row r="1317" spans="1:1" x14ac:dyDescent="0.25">
      <c r="A1317" t="s">
        <v>577</v>
      </c>
    </row>
    <row r="1318" spans="1:1" x14ac:dyDescent="0.25">
      <c r="A1318" t="s">
        <v>578</v>
      </c>
    </row>
    <row r="1319" spans="1:1" x14ac:dyDescent="0.25">
      <c r="A1319" t="s">
        <v>579</v>
      </c>
    </row>
    <row r="1320" spans="1:1" x14ac:dyDescent="0.25">
      <c r="A1320" t="s">
        <v>580</v>
      </c>
    </row>
    <row r="1321" spans="1:1" x14ac:dyDescent="0.25">
      <c r="A1321" t="s">
        <v>581</v>
      </c>
    </row>
    <row r="1322" spans="1:1" x14ac:dyDescent="0.25">
      <c r="A1322" t="s">
        <v>582</v>
      </c>
    </row>
    <row r="1323" spans="1:1" x14ac:dyDescent="0.25">
      <c r="A1323" t="s">
        <v>268</v>
      </c>
    </row>
    <row r="1324" spans="1:1" x14ac:dyDescent="0.25">
      <c r="A1324" t="s">
        <v>583</v>
      </c>
    </row>
    <row r="1325" spans="1:1" x14ac:dyDescent="0.25">
      <c r="A1325" t="s">
        <v>21</v>
      </c>
    </row>
    <row r="1328" spans="1:1" x14ac:dyDescent="0.25">
      <c r="A1328" t="s">
        <v>605</v>
      </c>
    </row>
    <row r="1329" spans="1:1" x14ac:dyDescent="0.25">
      <c r="A1329" t="s">
        <v>507</v>
      </c>
    </row>
    <row r="1330" spans="1:1" x14ac:dyDescent="0.25">
      <c r="A1330" t="s">
        <v>606</v>
      </c>
    </row>
    <row r="1331" spans="1:1" x14ac:dyDescent="0.25">
      <c r="A1331" t="s">
        <v>607</v>
      </c>
    </row>
    <row r="1332" spans="1:1" x14ac:dyDescent="0.25">
      <c r="A1332" t="s">
        <v>608</v>
      </c>
    </row>
    <row r="1333" spans="1:1" x14ac:dyDescent="0.25">
      <c r="A1333" t="s">
        <v>609</v>
      </c>
    </row>
    <row r="1334" spans="1:1" x14ac:dyDescent="0.25">
      <c r="A1334" t="s">
        <v>610</v>
      </c>
    </row>
    <row r="1335" spans="1:1" x14ac:dyDescent="0.25">
      <c r="A1335" t="s">
        <v>611</v>
      </c>
    </row>
    <row r="1336" spans="1:1" x14ac:dyDescent="0.25">
      <c r="A1336" t="s">
        <v>612</v>
      </c>
    </row>
    <row r="1337" spans="1:1" x14ac:dyDescent="0.25">
      <c r="A1337" t="s">
        <v>234</v>
      </c>
    </row>
    <row r="1338" spans="1:1" x14ac:dyDescent="0.25">
      <c r="A1338" t="s">
        <v>613</v>
      </c>
    </row>
    <row r="1339" spans="1:1" x14ac:dyDescent="0.25">
      <c r="A1339" t="s">
        <v>614</v>
      </c>
    </row>
    <row r="1340" spans="1:1" x14ac:dyDescent="0.25">
      <c r="A1340" t="s">
        <v>615</v>
      </c>
    </row>
    <row r="1341" spans="1:1" x14ac:dyDescent="0.25">
      <c r="A1341" t="s">
        <v>616</v>
      </c>
    </row>
    <row r="1342" spans="1:1" x14ac:dyDescent="0.25">
      <c r="A1342" t="s">
        <v>617</v>
      </c>
    </row>
    <row r="1343" spans="1:1" x14ac:dyDescent="0.25">
      <c r="A1343" t="s">
        <v>618</v>
      </c>
    </row>
    <row r="1344" spans="1:1" x14ac:dyDescent="0.25">
      <c r="A1344" t="s">
        <v>619</v>
      </c>
    </row>
    <row r="1345" spans="1:1" x14ac:dyDescent="0.25">
      <c r="A1345" t="s">
        <v>620</v>
      </c>
    </row>
    <row r="1346" spans="1:1" x14ac:dyDescent="0.25">
      <c r="A1346" t="s">
        <v>168</v>
      </c>
    </row>
    <row r="1347" spans="1:1" x14ac:dyDescent="0.25">
      <c r="A1347" t="s">
        <v>21</v>
      </c>
    </row>
    <row r="1349" spans="1:1" x14ac:dyDescent="0.25">
      <c r="A1349" t="s">
        <v>900</v>
      </c>
    </row>
    <row r="1350" spans="1:1" x14ac:dyDescent="0.25">
      <c r="A1350" t="s">
        <v>901</v>
      </c>
    </row>
    <row r="1351" spans="1:1" x14ac:dyDescent="0.25">
      <c r="A1351" t="s">
        <v>902</v>
      </c>
    </row>
    <row r="1352" spans="1:1" x14ac:dyDescent="0.25">
      <c r="A1352" t="s">
        <v>903</v>
      </c>
    </row>
    <row r="1353" spans="1:1" x14ac:dyDescent="0.25">
      <c r="A1353" t="s">
        <v>904</v>
      </c>
    </row>
    <row r="1354" spans="1:1" x14ac:dyDescent="0.25">
      <c r="A1354" t="s">
        <v>905</v>
      </c>
    </row>
    <row r="1355" spans="1:1" x14ac:dyDescent="0.25">
      <c r="A1355" t="s">
        <v>906</v>
      </c>
    </row>
    <row r="1356" spans="1:1" x14ac:dyDescent="0.25">
      <c r="A1356" t="s">
        <v>788</v>
      </c>
    </row>
    <row r="1357" spans="1:1" x14ac:dyDescent="0.25">
      <c r="A1357" t="s">
        <v>907</v>
      </c>
    </row>
    <row r="1358" spans="1:1" x14ac:dyDescent="0.25">
      <c r="A1358" t="s">
        <v>908</v>
      </c>
    </row>
    <row r="1359" spans="1:1" x14ac:dyDescent="0.25">
      <c r="A1359" t="s">
        <v>909</v>
      </c>
    </row>
    <row r="1360" spans="1:1" x14ac:dyDescent="0.25">
      <c r="A1360" t="s">
        <v>910</v>
      </c>
    </row>
    <row r="1361" spans="1:1" x14ac:dyDescent="0.25">
      <c r="A1361" t="s">
        <v>268</v>
      </c>
    </row>
    <row r="1362" spans="1:1" x14ac:dyDescent="0.25">
      <c r="A1362" t="s">
        <v>268</v>
      </c>
    </row>
    <row r="1363" spans="1:1" x14ac:dyDescent="0.25">
      <c r="A1363" t="s">
        <v>21</v>
      </c>
    </row>
    <row r="1364" spans="1:1" x14ac:dyDescent="0.25">
      <c r="A1364" t="s">
        <v>911</v>
      </c>
    </row>
    <row r="1365" spans="1:1" x14ac:dyDescent="0.25">
      <c r="A1365" t="s">
        <v>912</v>
      </c>
    </row>
    <row r="1366" spans="1:1" x14ac:dyDescent="0.25">
      <c r="A1366" t="s">
        <v>902</v>
      </c>
    </row>
    <row r="1367" spans="1:1" x14ac:dyDescent="0.25">
      <c r="A1367" t="s">
        <v>913</v>
      </c>
    </row>
    <row r="1368" spans="1:1" x14ac:dyDescent="0.25">
      <c r="A1368" t="s">
        <v>914</v>
      </c>
    </row>
    <row r="1369" spans="1:1" x14ac:dyDescent="0.25">
      <c r="A1369" t="s">
        <v>915</v>
      </c>
    </row>
    <row r="1370" spans="1:1" x14ac:dyDescent="0.25">
      <c r="A1370" t="s">
        <v>916</v>
      </c>
    </row>
    <row r="1371" spans="1:1" x14ac:dyDescent="0.25">
      <c r="A1371" t="s">
        <v>917</v>
      </c>
    </row>
    <row r="1372" spans="1:1" x14ac:dyDescent="0.25">
      <c r="A1372" t="s">
        <v>788</v>
      </c>
    </row>
    <row r="1373" spans="1:1" x14ac:dyDescent="0.25">
      <c r="A1373" t="s">
        <v>918</v>
      </c>
    </row>
    <row r="1374" spans="1:1" x14ac:dyDescent="0.25">
      <c r="A1374" t="s">
        <v>268</v>
      </c>
    </row>
    <row r="1375" spans="1:1" x14ac:dyDescent="0.25">
      <c r="A1375" t="s">
        <v>919</v>
      </c>
    </row>
    <row r="1376" spans="1:1" x14ac:dyDescent="0.25">
      <c r="A1376" t="s">
        <v>21</v>
      </c>
    </row>
    <row r="1379" spans="1:1" x14ac:dyDescent="0.25">
      <c r="A1379" t="s">
        <v>920</v>
      </c>
    </row>
    <row r="1380" spans="1:1" x14ac:dyDescent="0.25">
      <c r="A1380" t="s">
        <v>248</v>
      </c>
    </row>
    <row r="1381" spans="1:1" x14ac:dyDescent="0.25">
      <c r="A1381" t="s">
        <v>921</v>
      </c>
    </row>
    <row r="1382" spans="1:1" x14ac:dyDescent="0.25">
      <c r="A1382" t="s">
        <v>922</v>
      </c>
    </row>
    <row r="1383" spans="1:1" x14ac:dyDescent="0.25">
      <c r="A1383" t="s">
        <v>923</v>
      </c>
    </row>
    <row r="1384" spans="1:1" x14ac:dyDescent="0.25">
      <c r="A1384" t="s">
        <v>924</v>
      </c>
    </row>
    <row r="1385" spans="1:1" x14ac:dyDescent="0.25">
      <c r="A1385" t="s">
        <v>925</v>
      </c>
    </row>
    <row r="1386" spans="1:1" x14ac:dyDescent="0.25">
      <c r="A1386" t="s">
        <v>926</v>
      </c>
    </row>
    <row r="1387" spans="1:1" x14ac:dyDescent="0.25">
      <c r="A1387" t="s">
        <v>21</v>
      </c>
    </row>
    <row r="1388" spans="1:1" x14ac:dyDescent="0.25">
      <c r="A1388" t="s">
        <v>927</v>
      </c>
    </row>
    <row r="1389" spans="1:1" x14ac:dyDescent="0.25">
      <c r="A1389" t="s">
        <v>928</v>
      </c>
    </row>
    <row r="1390" spans="1:1" x14ac:dyDescent="0.25">
      <c r="A1390" t="s">
        <v>929</v>
      </c>
    </row>
    <row r="1391" spans="1:1" x14ac:dyDescent="0.25">
      <c r="A1391" t="s">
        <v>930</v>
      </c>
    </row>
    <row r="1392" spans="1:1" x14ac:dyDescent="0.25">
      <c r="A1392" t="s">
        <v>931</v>
      </c>
    </row>
    <row r="1393" spans="1:1" x14ac:dyDescent="0.25">
      <c r="A1393" t="s">
        <v>932</v>
      </c>
    </row>
    <row r="1394" spans="1:1" x14ac:dyDescent="0.25">
      <c r="A1394" t="s">
        <v>933</v>
      </c>
    </row>
    <row r="1395" spans="1:1" x14ac:dyDescent="0.25">
      <c r="A1395" t="s">
        <v>934</v>
      </c>
    </row>
    <row r="1396" spans="1:1" x14ac:dyDescent="0.25">
      <c r="A1396" t="s">
        <v>21</v>
      </c>
    </row>
    <row r="1398" spans="1:1" x14ac:dyDescent="0.25">
      <c r="A1398" t="s">
        <v>935</v>
      </c>
    </row>
    <row r="1399" spans="1:1" x14ac:dyDescent="0.25">
      <c r="A1399" t="s">
        <v>936</v>
      </c>
    </row>
    <row r="1400" spans="1:1" x14ac:dyDescent="0.25">
      <c r="A1400" t="s">
        <v>937</v>
      </c>
    </row>
    <row r="1401" spans="1:1" x14ac:dyDescent="0.25">
      <c r="A1401" t="s">
        <v>938</v>
      </c>
    </row>
    <row r="1402" spans="1:1" x14ac:dyDescent="0.25">
      <c r="A1402" t="s">
        <v>939</v>
      </c>
    </row>
    <row r="1403" spans="1:1" x14ac:dyDescent="0.25">
      <c r="A1403" t="s">
        <v>940</v>
      </c>
    </row>
    <row r="1404" spans="1:1" x14ac:dyDescent="0.25">
      <c r="A1404" t="s">
        <v>291</v>
      </c>
    </row>
    <row r="1405" spans="1:1" x14ac:dyDescent="0.25">
      <c r="A1405" t="s">
        <v>21</v>
      </c>
    </row>
    <row r="1407" spans="1:1" x14ac:dyDescent="0.25">
      <c r="A1407" t="s">
        <v>882</v>
      </c>
    </row>
    <row r="1408" spans="1:1" x14ac:dyDescent="0.25">
      <c r="A1408" t="s">
        <v>883</v>
      </c>
    </row>
    <row r="1409" spans="1:1" x14ac:dyDescent="0.25">
      <c r="A1409" t="s">
        <v>884</v>
      </c>
    </row>
    <row r="1410" spans="1:1" x14ac:dyDescent="0.25">
      <c r="A1410" t="s">
        <v>885</v>
      </c>
    </row>
    <row r="1411" spans="1:1" x14ac:dyDescent="0.25">
      <c r="A1411" t="s">
        <v>168</v>
      </c>
    </row>
    <row r="1412" spans="1:1" x14ac:dyDescent="0.25">
      <c r="A1412" t="s">
        <v>886</v>
      </c>
    </row>
    <row r="1413" spans="1:1" x14ac:dyDescent="0.25">
      <c r="A1413" t="s">
        <v>887</v>
      </c>
    </row>
    <row r="1414" spans="1:1" x14ac:dyDescent="0.25">
      <c r="A1414" t="s">
        <v>583</v>
      </c>
    </row>
    <row r="1415" spans="1:1" x14ac:dyDescent="0.25">
      <c r="A1415" t="s">
        <v>888</v>
      </c>
    </row>
    <row r="1416" spans="1:1" x14ac:dyDescent="0.25">
      <c r="A1416" t="s">
        <v>889</v>
      </c>
    </row>
    <row r="1417" spans="1:1" x14ac:dyDescent="0.25">
      <c r="A1417" t="s">
        <v>890</v>
      </c>
    </row>
    <row r="1418" spans="1:1" x14ac:dyDescent="0.25">
      <c r="A1418" t="s">
        <v>21</v>
      </c>
    </row>
    <row r="1420" spans="1:1" x14ac:dyDescent="0.25">
      <c r="A1420" t="s">
        <v>891</v>
      </c>
    </row>
    <row r="1421" spans="1:1" x14ac:dyDescent="0.25">
      <c r="A1421" t="s">
        <v>883</v>
      </c>
    </row>
    <row r="1422" spans="1:1" x14ac:dyDescent="0.25">
      <c r="A1422" t="s">
        <v>884</v>
      </c>
    </row>
    <row r="1423" spans="1:1" x14ac:dyDescent="0.25">
      <c r="A1423" t="s">
        <v>892</v>
      </c>
    </row>
    <row r="1424" spans="1:1" x14ac:dyDescent="0.25">
      <c r="A1424" t="s">
        <v>168</v>
      </c>
    </row>
    <row r="1425" spans="1:1" x14ac:dyDescent="0.25">
      <c r="A1425" t="s">
        <v>886</v>
      </c>
    </row>
    <row r="1426" spans="1:1" x14ac:dyDescent="0.25">
      <c r="A1426" t="s">
        <v>893</v>
      </c>
    </row>
    <row r="1427" spans="1:1" x14ac:dyDescent="0.25">
      <c r="A1427" t="s">
        <v>583</v>
      </c>
    </row>
    <row r="1428" spans="1:1" x14ac:dyDescent="0.25">
      <c r="A1428" t="s">
        <v>888</v>
      </c>
    </row>
    <row r="1429" spans="1:1" x14ac:dyDescent="0.25">
      <c r="A1429" t="s">
        <v>894</v>
      </c>
    </row>
    <row r="1430" spans="1:1" x14ac:dyDescent="0.25">
      <c r="A1430" t="s">
        <v>890</v>
      </c>
    </row>
    <row r="1431" spans="1:1" x14ac:dyDescent="0.25">
      <c r="A1431" t="s">
        <v>21</v>
      </c>
    </row>
    <row r="1433" spans="1:1" x14ac:dyDescent="0.25">
      <c r="A1433" t="s">
        <v>941</v>
      </c>
    </row>
    <row r="1434" spans="1:1" x14ac:dyDescent="0.25">
      <c r="A1434" t="s">
        <v>942</v>
      </c>
    </row>
    <row r="1435" spans="1:1" x14ac:dyDescent="0.25">
      <c r="A1435" t="s">
        <v>883</v>
      </c>
    </row>
    <row r="1436" spans="1:1" x14ac:dyDescent="0.25">
      <c r="A1436" t="s">
        <v>943</v>
      </c>
    </row>
    <row r="1437" spans="1:1" x14ac:dyDescent="0.25">
      <c r="A1437" t="s">
        <v>944</v>
      </c>
    </row>
    <row r="1438" spans="1:1" x14ac:dyDescent="0.25">
      <c r="A1438" t="s">
        <v>945</v>
      </c>
    </row>
    <row r="1439" spans="1:1" x14ac:dyDescent="0.25">
      <c r="A1439" t="s">
        <v>583</v>
      </c>
    </row>
    <row r="1440" spans="1:1" x14ac:dyDescent="0.25">
      <c r="A1440" t="s">
        <v>168</v>
      </c>
    </row>
    <row r="1441" spans="1:1" x14ac:dyDescent="0.25">
      <c r="A1441" t="s">
        <v>946</v>
      </c>
    </row>
    <row r="1442" spans="1:1" x14ac:dyDescent="0.25">
      <c r="A1442" t="s">
        <v>21</v>
      </c>
    </row>
    <row r="1444" spans="1:1" x14ac:dyDescent="0.25">
      <c r="A1444" t="s">
        <v>806</v>
      </c>
    </row>
    <row r="1445" spans="1:1" x14ac:dyDescent="0.25">
      <c r="A1445" t="s">
        <v>807</v>
      </c>
    </row>
    <row r="1446" spans="1:1" x14ac:dyDescent="0.25">
      <c r="A1446" t="s">
        <v>808</v>
      </c>
    </row>
    <row r="1447" spans="1:1" x14ac:dyDescent="0.25">
      <c r="A1447" t="s">
        <v>809</v>
      </c>
    </row>
    <row r="1448" spans="1:1" x14ac:dyDescent="0.25">
      <c r="A1448" t="s">
        <v>810</v>
      </c>
    </row>
    <row r="1449" spans="1:1" x14ac:dyDescent="0.25">
      <c r="A1449" t="s">
        <v>811</v>
      </c>
    </row>
    <row r="1450" spans="1:1" x14ac:dyDescent="0.25">
      <c r="A1450" t="s">
        <v>398</v>
      </c>
    </row>
    <row r="1451" spans="1:1" x14ac:dyDescent="0.25">
      <c r="A1451" t="s">
        <v>812</v>
      </c>
    </row>
    <row r="1452" spans="1:1" x14ac:dyDescent="0.25">
      <c r="A1452" t="s">
        <v>21</v>
      </c>
    </row>
    <row r="1454" spans="1:1" x14ac:dyDescent="0.25">
      <c r="A1454" t="s">
        <v>947</v>
      </c>
    </row>
    <row r="1455" spans="1:1" x14ac:dyDescent="0.25">
      <c r="A1455" t="s">
        <v>948</v>
      </c>
    </row>
    <row r="1456" spans="1:1" x14ac:dyDescent="0.25">
      <c r="A1456" t="s">
        <v>949</v>
      </c>
    </row>
    <row r="1457" spans="1:1" x14ac:dyDescent="0.25">
      <c r="A1457" t="s">
        <v>950</v>
      </c>
    </row>
    <row r="1458" spans="1:1" x14ac:dyDescent="0.25">
      <c r="A1458" t="s">
        <v>160</v>
      </c>
    </row>
    <row r="1459" spans="1:1" x14ac:dyDescent="0.25">
      <c r="A1459" t="s">
        <v>951</v>
      </c>
    </row>
    <row r="1460" spans="1:1" x14ac:dyDescent="0.25">
      <c r="A1460" t="s">
        <v>827</v>
      </c>
    </row>
    <row r="1461" spans="1:1" x14ac:dyDescent="0.25">
      <c r="A1461" t="s">
        <v>952</v>
      </c>
    </row>
    <row r="1462" spans="1:1" x14ac:dyDescent="0.25">
      <c r="A1462" t="s">
        <v>262</v>
      </c>
    </row>
    <row r="1463" spans="1:1" x14ac:dyDescent="0.25">
      <c r="A1463" t="s">
        <v>168</v>
      </c>
    </row>
    <row r="1464" spans="1:1" x14ac:dyDescent="0.25">
      <c r="A1464" t="s">
        <v>21</v>
      </c>
    </row>
    <row r="1467" spans="1:1" x14ac:dyDescent="0.25">
      <c r="A1467" t="s">
        <v>953</v>
      </c>
    </row>
    <row r="1468" spans="1:1" x14ac:dyDescent="0.25">
      <c r="A1468" t="s">
        <v>954</v>
      </c>
    </row>
    <row r="1469" spans="1:1" x14ac:dyDescent="0.25">
      <c r="A1469" t="s">
        <v>955</v>
      </c>
    </row>
    <row r="1470" spans="1:1" x14ac:dyDescent="0.25">
      <c r="A1470" t="s">
        <v>956</v>
      </c>
    </row>
    <row r="1471" spans="1:1" x14ac:dyDescent="0.25">
      <c r="A1471" t="s">
        <v>826</v>
      </c>
    </row>
    <row r="1472" spans="1:1" x14ac:dyDescent="0.25">
      <c r="A1472" t="s">
        <v>957</v>
      </c>
    </row>
    <row r="1473" spans="1:1" x14ac:dyDescent="0.25">
      <c r="A1473" t="s">
        <v>958</v>
      </c>
    </row>
    <row r="1474" spans="1:1" x14ac:dyDescent="0.25">
      <c r="A1474" t="s">
        <v>959</v>
      </c>
    </row>
    <row r="1475" spans="1:1" x14ac:dyDescent="0.25">
      <c r="A1475" t="s">
        <v>960</v>
      </c>
    </row>
    <row r="1476" spans="1:1" x14ac:dyDescent="0.25">
      <c r="A1476" t="s">
        <v>21</v>
      </c>
    </row>
    <row r="1478" spans="1:1" x14ac:dyDescent="0.25">
      <c r="A1478" t="s">
        <v>961</v>
      </c>
    </row>
    <row r="1479" spans="1:1" x14ac:dyDescent="0.25">
      <c r="A1479" t="s">
        <v>962</v>
      </c>
    </row>
    <row r="1480" spans="1:1" x14ac:dyDescent="0.25">
      <c r="A1480" t="s">
        <v>963</v>
      </c>
    </row>
    <row r="1481" spans="1:1" x14ac:dyDescent="0.25">
      <c r="A1481" t="s">
        <v>964</v>
      </c>
    </row>
    <row r="1482" spans="1:1" x14ac:dyDescent="0.25">
      <c r="A1482" t="s">
        <v>965</v>
      </c>
    </row>
    <row r="1483" spans="1:1" x14ac:dyDescent="0.25">
      <c r="A1483" t="s">
        <v>966</v>
      </c>
    </row>
    <row r="1484" spans="1:1" x14ac:dyDescent="0.25">
      <c r="A1484" t="s">
        <v>967</v>
      </c>
    </row>
    <row r="1485" spans="1:1" x14ac:dyDescent="0.25">
      <c r="A1485" t="s">
        <v>968</v>
      </c>
    </row>
    <row r="1486" spans="1:1" x14ac:dyDescent="0.25">
      <c r="A1486" t="s">
        <v>969</v>
      </c>
    </row>
    <row r="1487" spans="1:1" x14ac:dyDescent="0.25">
      <c r="A1487" t="s">
        <v>21</v>
      </c>
    </row>
    <row r="1489" spans="1:1" x14ac:dyDescent="0.25">
      <c r="A1489" t="s">
        <v>232</v>
      </c>
    </row>
    <row r="1490" spans="1:1" x14ac:dyDescent="0.25">
      <c r="A1490" t="s">
        <v>507</v>
      </c>
    </row>
    <row r="1491" spans="1:1" x14ac:dyDescent="0.25">
      <c r="A1491" t="s">
        <v>234</v>
      </c>
    </row>
    <row r="1492" spans="1:1" x14ac:dyDescent="0.25">
      <c r="A1492" t="s">
        <v>970</v>
      </c>
    </row>
    <row r="1493" spans="1:1" x14ac:dyDescent="0.25">
      <c r="A1493" t="s">
        <v>971</v>
      </c>
    </row>
    <row r="1494" spans="1:1" x14ac:dyDescent="0.25">
      <c r="A1494" t="s">
        <v>972</v>
      </c>
    </row>
    <row r="1495" spans="1:1" x14ac:dyDescent="0.25">
      <c r="A1495" t="s">
        <v>973</v>
      </c>
    </row>
    <row r="1496" spans="1:1" x14ac:dyDescent="0.25">
      <c r="A1496" t="s">
        <v>974</v>
      </c>
    </row>
    <row r="1497" spans="1:1" x14ac:dyDescent="0.25">
      <c r="A1497" t="s">
        <v>975</v>
      </c>
    </row>
    <row r="1498" spans="1:1" x14ac:dyDescent="0.25">
      <c r="A1498" t="s">
        <v>976</v>
      </c>
    </row>
    <row r="1499" spans="1:1" x14ac:dyDescent="0.25">
      <c r="A1499" t="s">
        <v>977</v>
      </c>
    </row>
    <row r="1500" spans="1:1" x14ac:dyDescent="0.25">
      <c r="A1500" t="s">
        <v>978</v>
      </c>
    </row>
    <row r="1501" spans="1:1" x14ac:dyDescent="0.25">
      <c r="A1501" t="s">
        <v>979</v>
      </c>
    </row>
    <row r="1502" spans="1:1" x14ac:dyDescent="0.25">
      <c r="A1502" t="s">
        <v>168</v>
      </c>
    </row>
    <row r="1503" spans="1:1" x14ac:dyDescent="0.25">
      <c r="A1503" t="s">
        <v>21</v>
      </c>
    </row>
    <row r="1504" spans="1:1" x14ac:dyDescent="0.25">
      <c r="A1504" t="s">
        <v>980</v>
      </c>
    </row>
    <row r="1505" spans="1:1" x14ac:dyDescent="0.25">
      <c r="A1505" t="s">
        <v>507</v>
      </c>
    </row>
    <row r="1506" spans="1:1" x14ac:dyDescent="0.25">
      <c r="A1506" t="s">
        <v>234</v>
      </c>
    </row>
    <row r="1507" spans="1:1" x14ac:dyDescent="0.25">
      <c r="A1507" t="s">
        <v>981</v>
      </c>
    </row>
    <row r="1508" spans="1:1" x14ac:dyDescent="0.25">
      <c r="A1508" t="s">
        <v>168</v>
      </c>
    </row>
    <row r="1509" spans="1:1" x14ac:dyDescent="0.25">
      <c r="A1509" t="s">
        <v>21</v>
      </c>
    </row>
    <row r="1510" spans="1:1" x14ac:dyDescent="0.25">
      <c r="A1510" t="s">
        <v>298</v>
      </c>
    </row>
    <row r="1511" spans="1:1" x14ac:dyDescent="0.25">
      <c r="A1511" t="s">
        <v>507</v>
      </c>
    </row>
    <row r="1512" spans="1:1" x14ac:dyDescent="0.25">
      <c r="A1512" t="s">
        <v>234</v>
      </c>
    </row>
    <row r="1513" spans="1:1" x14ac:dyDescent="0.25">
      <c r="A1513" t="s">
        <v>982</v>
      </c>
    </row>
    <row r="1514" spans="1:1" x14ac:dyDescent="0.25">
      <c r="A1514" t="s">
        <v>983</v>
      </c>
    </row>
    <row r="1515" spans="1:1" x14ac:dyDescent="0.25">
      <c r="A1515" t="s">
        <v>984</v>
      </c>
    </row>
    <row r="1516" spans="1:1" x14ac:dyDescent="0.25">
      <c r="A1516" t="s">
        <v>985</v>
      </c>
    </row>
    <row r="1517" spans="1:1" x14ac:dyDescent="0.25">
      <c r="A1517" t="s">
        <v>986</v>
      </c>
    </row>
    <row r="1518" spans="1:1" x14ac:dyDescent="0.25">
      <c r="A1518" t="s">
        <v>987</v>
      </c>
    </row>
    <row r="1519" spans="1:1" x14ac:dyDescent="0.25">
      <c r="A1519" t="s">
        <v>988</v>
      </c>
    </row>
    <row r="1520" spans="1:1" x14ac:dyDescent="0.25">
      <c r="A1520" t="s">
        <v>989</v>
      </c>
    </row>
    <row r="1521" spans="1:1" x14ac:dyDescent="0.25">
      <c r="A1521" t="s">
        <v>990</v>
      </c>
    </row>
    <row r="1522" spans="1:1" x14ac:dyDescent="0.25">
      <c r="A1522" t="s">
        <v>991</v>
      </c>
    </row>
    <row r="1523" spans="1:1" x14ac:dyDescent="0.25">
      <c r="A1523" t="s">
        <v>168</v>
      </c>
    </row>
    <row r="1524" spans="1:1" x14ac:dyDescent="0.25">
      <c r="A1524" t="s">
        <v>21</v>
      </c>
    </row>
    <row r="1526" spans="1:1" x14ac:dyDescent="0.25">
      <c r="A1526" t="s">
        <v>992</v>
      </c>
    </row>
    <row r="1527" spans="1:1" x14ac:dyDescent="0.25">
      <c r="A1527" t="s">
        <v>233</v>
      </c>
    </row>
    <row r="1528" spans="1:1" x14ac:dyDescent="0.25">
      <c r="A1528" t="s">
        <v>234</v>
      </c>
    </row>
    <row r="1529" spans="1:1" x14ac:dyDescent="0.25">
      <c r="A1529" t="s">
        <v>993</v>
      </c>
    </row>
    <row r="1530" spans="1:1" x14ac:dyDescent="0.25">
      <c r="A1530" t="s">
        <v>994</v>
      </c>
    </row>
    <row r="1531" spans="1:1" x14ac:dyDescent="0.25">
      <c r="A1531" t="s">
        <v>168</v>
      </c>
    </row>
    <row r="1532" spans="1:1" x14ac:dyDescent="0.25">
      <c r="A1532" t="s">
        <v>21</v>
      </c>
    </row>
    <row r="1534" spans="1:1" x14ac:dyDescent="0.25">
      <c r="A1534" t="s">
        <v>995</v>
      </c>
    </row>
    <row r="1535" spans="1:1" x14ac:dyDescent="0.25">
      <c r="A1535" t="s">
        <v>233</v>
      </c>
    </row>
    <row r="1536" spans="1:1" x14ac:dyDescent="0.25">
      <c r="A1536" t="s">
        <v>234</v>
      </c>
    </row>
    <row r="1537" spans="1:1" x14ac:dyDescent="0.25">
      <c r="A1537" t="s">
        <v>993</v>
      </c>
    </row>
    <row r="1538" spans="1:1" x14ac:dyDescent="0.25">
      <c r="A1538" t="s">
        <v>996</v>
      </c>
    </row>
    <row r="1539" spans="1:1" x14ac:dyDescent="0.25">
      <c r="A1539" t="s">
        <v>997</v>
      </c>
    </row>
    <row r="1540" spans="1:1" x14ac:dyDescent="0.25">
      <c r="A1540" t="s">
        <v>998</v>
      </c>
    </row>
    <row r="1541" spans="1:1" x14ac:dyDescent="0.25">
      <c r="A1541" t="s">
        <v>583</v>
      </c>
    </row>
    <row r="1542" spans="1:1" x14ac:dyDescent="0.25">
      <c r="A1542" t="s">
        <v>168</v>
      </c>
    </row>
    <row r="1543" spans="1:1" x14ac:dyDescent="0.25">
      <c r="A1543" t="s">
        <v>21</v>
      </c>
    </row>
    <row r="1545" spans="1:1" x14ac:dyDescent="0.25">
      <c r="A1545" t="s">
        <v>999</v>
      </c>
    </row>
    <row r="1546" spans="1:1" x14ac:dyDescent="0.25">
      <c r="A1546" t="s">
        <v>1000</v>
      </c>
    </row>
    <row r="1547" spans="1:1" x14ac:dyDescent="0.25">
      <c r="A1547" t="s">
        <v>1001</v>
      </c>
    </row>
    <row r="1548" spans="1:1" x14ac:dyDescent="0.25">
      <c r="A1548" t="s">
        <v>1002</v>
      </c>
    </row>
    <row r="1549" spans="1:1" x14ac:dyDescent="0.25">
      <c r="A1549" t="s">
        <v>1003</v>
      </c>
    </row>
    <row r="1550" spans="1:1" x14ac:dyDescent="0.25">
      <c r="A1550" t="s">
        <v>1004</v>
      </c>
    </row>
    <row r="1551" spans="1:1" x14ac:dyDescent="0.25">
      <c r="A1551" t="s">
        <v>1005</v>
      </c>
    </row>
    <row r="1552" spans="1:1" x14ac:dyDescent="0.25">
      <c r="A1552" t="s">
        <v>1006</v>
      </c>
    </row>
    <row r="1553" spans="1:1" x14ac:dyDescent="0.25">
      <c r="A1553" t="s">
        <v>168</v>
      </c>
    </row>
    <row r="1554" spans="1:1" x14ac:dyDescent="0.25">
      <c r="A1554" t="s">
        <v>21</v>
      </c>
    </row>
    <row r="1556" spans="1:1" x14ac:dyDescent="0.25">
      <c r="A1556" t="s">
        <v>947</v>
      </c>
    </row>
    <row r="1557" spans="1:1" x14ac:dyDescent="0.25">
      <c r="A1557" t="s">
        <v>1007</v>
      </c>
    </row>
    <row r="1558" spans="1:1" x14ac:dyDescent="0.25">
      <c r="A1558" t="s">
        <v>949</v>
      </c>
    </row>
    <row r="1559" spans="1:1" x14ac:dyDescent="0.25">
      <c r="A1559" t="s">
        <v>950</v>
      </c>
    </row>
    <row r="1560" spans="1:1" x14ac:dyDescent="0.25">
      <c r="A1560" t="s">
        <v>160</v>
      </c>
    </row>
    <row r="1561" spans="1:1" x14ac:dyDescent="0.25">
      <c r="A1561" t="s">
        <v>951</v>
      </c>
    </row>
    <row r="1562" spans="1:1" x14ac:dyDescent="0.25">
      <c r="A1562" t="s">
        <v>827</v>
      </c>
    </row>
    <row r="1563" spans="1:1" x14ac:dyDescent="0.25">
      <c r="A1563" t="s">
        <v>828</v>
      </c>
    </row>
    <row r="1564" spans="1:1" x14ac:dyDescent="0.25">
      <c r="A1564" t="s">
        <v>262</v>
      </c>
    </row>
    <row r="1565" spans="1:1" x14ac:dyDescent="0.25">
      <c r="A1565" t="s">
        <v>168</v>
      </c>
    </row>
    <row r="1566" spans="1:1" x14ac:dyDescent="0.25">
      <c r="A1566" t="s">
        <v>21</v>
      </c>
    </row>
    <row r="1567" spans="1:1" x14ac:dyDescent="0.25">
      <c r="A1567" t="s">
        <v>1008</v>
      </c>
    </row>
    <row r="1568" spans="1:1" x14ac:dyDescent="0.25">
      <c r="A1568" t="s">
        <v>1009</v>
      </c>
    </row>
    <row r="1569" spans="1:1" x14ac:dyDescent="0.25">
      <c r="A1569" t="s">
        <v>1010</v>
      </c>
    </row>
    <row r="1570" spans="1:1" x14ac:dyDescent="0.25">
      <c r="A1570" t="s">
        <v>1011</v>
      </c>
    </row>
    <row r="1571" spans="1:1" x14ac:dyDescent="0.25">
      <c r="A1571" t="s">
        <v>1012</v>
      </c>
    </row>
    <row r="1572" spans="1:1" x14ac:dyDescent="0.25">
      <c r="A1572" t="s">
        <v>1013</v>
      </c>
    </row>
    <row r="1573" spans="1:1" x14ac:dyDescent="0.25">
      <c r="A1573" t="s">
        <v>21</v>
      </c>
    </row>
    <row r="1576" spans="1:1" x14ac:dyDescent="0.25">
      <c r="A1576" t="s">
        <v>1014</v>
      </c>
    </row>
    <row r="1577" spans="1:1" x14ac:dyDescent="0.25">
      <c r="A1577" t="s">
        <v>1015</v>
      </c>
    </row>
    <row r="1578" spans="1:1" x14ac:dyDescent="0.25">
      <c r="A1578" t="s">
        <v>1016</v>
      </c>
    </row>
    <row r="1580" spans="1:1" x14ac:dyDescent="0.25">
      <c r="A1580" t="s">
        <v>1017</v>
      </c>
    </row>
    <row r="1581" spans="1:1" x14ac:dyDescent="0.25">
      <c r="A1581" t="s">
        <v>1018</v>
      </c>
    </row>
    <row r="1582" spans="1:1" x14ac:dyDescent="0.25">
      <c r="A1582" t="s">
        <v>1019</v>
      </c>
    </row>
    <row r="1583" spans="1:1" x14ac:dyDescent="0.25">
      <c r="A1583" t="s">
        <v>1020</v>
      </c>
    </row>
    <row r="1584" spans="1:1" x14ac:dyDescent="0.25">
      <c r="A1584" t="s">
        <v>1021</v>
      </c>
    </row>
    <row r="1585" spans="1:1" x14ac:dyDescent="0.25">
      <c r="A1585" t="s">
        <v>1022</v>
      </c>
    </row>
    <row r="1586" spans="1:1" x14ac:dyDescent="0.25">
      <c r="A1586" t="s">
        <v>1023</v>
      </c>
    </row>
    <row r="1587" spans="1:1" x14ac:dyDescent="0.25">
      <c r="A1587" t="s">
        <v>1024</v>
      </c>
    </row>
    <row r="1588" spans="1:1" x14ac:dyDescent="0.25">
      <c r="A1588" t="s">
        <v>1025</v>
      </c>
    </row>
    <row r="1589" spans="1:1" x14ac:dyDescent="0.25">
      <c r="A1589" t="s">
        <v>1026</v>
      </c>
    </row>
    <row r="1590" spans="1:1" x14ac:dyDescent="0.25">
      <c r="A1590" t="s">
        <v>1027</v>
      </c>
    </row>
    <row r="1591" spans="1:1" x14ac:dyDescent="0.25">
      <c r="A1591" t="s">
        <v>1028</v>
      </c>
    </row>
    <row r="1592" spans="1:1" x14ac:dyDescent="0.25">
      <c r="A1592" t="s">
        <v>1029</v>
      </c>
    </row>
    <row r="1593" spans="1:1" x14ac:dyDescent="0.25">
      <c r="A1593" t="s">
        <v>1030</v>
      </c>
    </row>
    <row r="1594" spans="1:1" x14ac:dyDescent="0.25">
      <c r="A1594" t="s">
        <v>1031</v>
      </c>
    </row>
    <row r="1595" spans="1:1" x14ac:dyDescent="0.25">
      <c r="A1595" t="s">
        <v>1032</v>
      </c>
    </row>
    <row r="1596" spans="1:1" x14ac:dyDescent="0.25">
      <c r="A1596" t="s">
        <v>1033</v>
      </c>
    </row>
    <row r="1597" spans="1:1" x14ac:dyDescent="0.25">
      <c r="A1597" t="s">
        <v>1034</v>
      </c>
    </row>
    <row r="1599" spans="1:1" x14ac:dyDescent="0.25">
      <c r="A1599" t="s">
        <v>1035</v>
      </c>
    </row>
    <row r="1600" spans="1:1" x14ac:dyDescent="0.25">
      <c r="A1600" t="s">
        <v>1036</v>
      </c>
    </row>
    <row r="1601" spans="1:1" x14ac:dyDescent="0.25">
      <c r="A1601" t="s">
        <v>1037</v>
      </c>
    </row>
    <row r="1602" spans="1:1" x14ac:dyDescent="0.25">
      <c r="A1602" t="s">
        <v>1038</v>
      </c>
    </row>
    <row r="1603" spans="1:1" x14ac:dyDescent="0.25">
      <c r="A1603" t="s">
        <v>1039</v>
      </c>
    </row>
    <row r="1604" spans="1:1" x14ac:dyDescent="0.25">
      <c r="A1604" t="s">
        <v>1040</v>
      </c>
    </row>
    <row r="1605" spans="1:1" x14ac:dyDescent="0.25">
      <c r="A1605" t="s">
        <v>1041</v>
      </c>
    </row>
    <row r="1606" spans="1:1" x14ac:dyDescent="0.25">
      <c r="A1606" t="s">
        <v>1042</v>
      </c>
    </row>
    <row r="1607" spans="1:1" x14ac:dyDescent="0.25">
      <c r="A1607" t="s">
        <v>1043</v>
      </c>
    </row>
    <row r="1608" spans="1:1" x14ac:dyDescent="0.25">
      <c r="A1608" t="s">
        <v>1044</v>
      </c>
    </row>
    <row r="1609" spans="1:1" x14ac:dyDescent="0.25">
      <c r="A1609" t="s">
        <v>1045</v>
      </c>
    </row>
    <row r="1610" spans="1:1" x14ac:dyDescent="0.25">
      <c r="A1610" t="s">
        <v>1046</v>
      </c>
    </row>
    <row r="1611" spans="1:1" x14ac:dyDescent="0.25">
      <c r="A1611" t="s">
        <v>1047</v>
      </c>
    </row>
    <row r="1612" spans="1:1" x14ac:dyDescent="0.25">
      <c r="A1612" t="s">
        <v>1048</v>
      </c>
    </row>
    <row r="1613" spans="1:1" x14ac:dyDescent="0.25">
      <c r="A1613" t="s">
        <v>1049</v>
      </c>
    </row>
    <row r="1614" spans="1:1" x14ac:dyDescent="0.25">
      <c r="A1614" t="s">
        <v>1050</v>
      </c>
    </row>
    <row r="1615" spans="1:1" x14ac:dyDescent="0.25">
      <c r="A1615" t="s">
        <v>1051</v>
      </c>
    </row>
    <row r="1616" spans="1:1" x14ac:dyDescent="0.25">
      <c r="A1616" t="s">
        <v>1052</v>
      </c>
    </row>
    <row r="1617" spans="1:1" x14ac:dyDescent="0.25">
      <c r="A1617" t="s">
        <v>1053</v>
      </c>
    </row>
    <row r="1618" spans="1:1" x14ac:dyDescent="0.25">
      <c r="A1618" t="s">
        <v>1054</v>
      </c>
    </row>
    <row r="1619" spans="1:1" x14ac:dyDescent="0.25">
      <c r="A1619" t="s">
        <v>1055</v>
      </c>
    </row>
    <row r="1620" spans="1:1" x14ac:dyDescent="0.25">
      <c r="A1620" t="s">
        <v>1056</v>
      </c>
    </row>
    <row r="1621" spans="1:1" x14ac:dyDescent="0.25">
      <c r="A1621" t="s">
        <v>1057</v>
      </c>
    </row>
    <row r="1622" spans="1:1" x14ac:dyDescent="0.25">
      <c r="A1622" t="s">
        <v>1058</v>
      </c>
    </row>
    <row r="1623" spans="1:1" x14ac:dyDescent="0.25">
      <c r="A1623" t="s">
        <v>1059</v>
      </c>
    </row>
    <row r="1624" spans="1:1" x14ac:dyDescent="0.25">
      <c r="A1624" t="s">
        <v>1060</v>
      </c>
    </row>
    <row r="1625" spans="1:1" x14ac:dyDescent="0.25">
      <c r="A1625" t="s">
        <v>1061</v>
      </c>
    </row>
    <row r="1626" spans="1:1" x14ac:dyDescent="0.25">
      <c r="A1626" t="s">
        <v>1062</v>
      </c>
    </row>
    <row r="1627" spans="1:1" x14ac:dyDescent="0.25">
      <c r="A1627" t="s">
        <v>1063</v>
      </c>
    </row>
    <row r="1629" spans="1:1" x14ac:dyDescent="0.25">
      <c r="A1629" t="s">
        <v>1064</v>
      </c>
    </row>
    <row r="1630" spans="1:1" x14ac:dyDescent="0.25">
      <c r="A1630" t="s">
        <v>700</v>
      </c>
    </row>
    <row r="1631" spans="1:1" x14ac:dyDescent="0.25">
      <c r="A1631" t="s">
        <v>701</v>
      </c>
    </row>
    <row r="1632" spans="1:1" x14ac:dyDescent="0.25">
      <c r="A1632" t="s">
        <v>702</v>
      </c>
    </row>
    <row r="1633" spans="1:1" x14ac:dyDescent="0.25">
      <c r="A1633" t="s">
        <v>703</v>
      </c>
    </row>
    <row r="1634" spans="1:1" x14ac:dyDescent="0.25">
      <c r="A1634" t="s">
        <v>704</v>
      </c>
    </row>
    <row r="1635" spans="1:1" x14ac:dyDescent="0.25">
      <c r="A1635" t="s">
        <v>1065</v>
      </c>
    </row>
    <row r="1638" spans="1:1" x14ac:dyDescent="0.25">
      <c r="A1638" t="s">
        <v>1066</v>
      </c>
    </row>
    <row r="1639" spans="1:1" x14ac:dyDescent="0.25">
      <c r="A1639" t="s">
        <v>1067</v>
      </c>
    </row>
    <row r="1640" spans="1:1" x14ac:dyDescent="0.25">
      <c r="A1640" t="s">
        <v>1068</v>
      </c>
    </row>
    <row r="1641" spans="1:1" x14ac:dyDescent="0.25">
      <c r="A1641" t="s">
        <v>1069</v>
      </c>
    </row>
    <row r="1642" spans="1:1" x14ac:dyDescent="0.25">
      <c r="A1642" t="s">
        <v>1070</v>
      </c>
    </row>
    <row r="1643" spans="1:1" x14ac:dyDescent="0.25">
      <c r="A1643" t="s">
        <v>1071</v>
      </c>
    </row>
    <row r="1644" spans="1:1" x14ac:dyDescent="0.25">
      <c r="A1644" t="s">
        <v>1072</v>
      </c>
    </row>
    <row r="1645" spans="1:1" x14ac:dyDescent="0.25">
      <c r="A1645" t="s">
        <v>21</v>
      </c>
    </row>
    <row r="1647" spans="1:1" x14ac:dyDescent="0.25">
      <c r="A1647" t="s">
        <v>1073</v>
      </c>
    </row>
    <row r="1648" spans="1:1" x14ac:dyDescent="0.25">
      <c r="A1648" t="s">
        <v>1074</v>
      </c>
    </row>
    <row r="1649" spans="1:1" x14ac:dyDescent="0.25">
      <c r="A1649" t="s">
        <v>1075</v>
      </c>
    </row>
    <row r="1650" spans="1:1" x14ac:dyDescent="0.25">
      <c r="A1650" t="s">
        <v>1076</v>
      </c>
    </row>
    <row r="1651" spans="1:1" x14ac:dyDescent="0.25">
      <c r="A1651" t="s">
        <v>1077</v>
      </c>
    </row>
    <row r="1652" spans="1:1" x14ac:dyDescent="0.25">
      <c r="A1652" t="s">
        <v>1078</v>
      </c>
    </row>
    <row r="1653" spans="1:1" x14ac:dyDescent="0.25">
      <c r="A1653" t="s">
        <v>1079</v>
      </c>
    </row>
    <row r="1655" spans="1:1" x14ac:dyDescent="0.25">
      <c r="A1655" t="s">
        <v>214</v>
      </c>
    </row>
    <row r="1656" spans="1:1" x14ac:dyDescent="0.25">
      <c r="A1656" t="s">
        <v>21</v>
      </c>
    </row>
    <row r="1658" spans="1:1" x14ac:dyDescent="0.25">
      <c r="A1658" t="s">
        <v>1080</v>
      </c>
    </row>
    <row r="1659" spans="1:1" x14ac:dyDescent="0.25">
      <c r="A1659" t="s">
        <v>1081</v>
      </c>
    </row>
    <row r="1660" spans="1:1" x14ac:dyDescent="0.25">
      <c r="A1660" t="s">
        <v>1082</v>
      </c>
    </row>
    <row r="1661" spans="1:1" x14ac:dyDescent="0.25">
      <c r="A1661" t="s">
        <v>21</v>
      </c>
    </row>
    <row r="1662" spans="1:1" x14ac:dyDescent="0.25">
      <c r="A1662" t="s">
        <v>1083</v>
      </c>
    </row>
    <row r="1663" spans="1:1" x14ac:dyDescent="0.25">
      <c r="A1663" t="s">
        <v>1084</v>
      </c>
    </row>
    <row r="1665" spans="1:1" x14ac:dyDescent="0.25">
      <c r="A1665" t="s">
        <v>1085</v>
      </c>
    </row>
    <row r="1666" spans="1:1" x14ac:dyDescent="0.25">
      <c r="A1666" t="s">
        <v>1086</v>
      </c>
    </row>
    <row r="1667" spans="1:1" x14ac:dyDescent="0.25">
      <c r="A1667" t="s">
        <v>1087</v>
      </c>
    </row>
    <row r="1668" spans="1:1" x14ac:dyDescent="0.25">
      <c r="A1668" t="s">
        <v>1088</v>
      </c>
    </row>
    <row r="1669" spans="1:1" x14ac:dyDescent="0.25">
      <c r="A1669" t="s">
        <v>939</v>
      </c>
    </row>
    <row r="1670" spans="1:1" x14ac:dyDescent="0.25">
      <c r="A1670" t="s">
        <v>1089</v>
      </c>
    </row>
    <row r="1671" spans="1:1" x14ac:dyDescent="0.25">
      <c r="A1671" t="s">
        <v>939</v>
      </c>
    </row>
    <row r="1672" spans="1:1" x14ac:dyDescent="0.25">
      <c r="A1672" t="s">
        <v>21</v>
      </c>
    </row>
    <row r="1674" spans="1:1" x14ac:dyDescent="0.25">
      <c r="A1674" t="s">
        <v>947</v>
      </c>
    </row>
    <row r="1675" spans="1:1" x14ac:dyDescent="0.25">
      <c r="A1675" t="s">
        <v>948</v>
      </c>
    </row>
    <row r="1676" spans="1:1" x14ac:dyDescent="0.25">
      <c r="A1676" t="s">
        <v>949</v>
      </c>
    </row>
    <row r="1677" spans="1:1" x14ac:dyDescent="0.25">
      <c r="A1677" t="s">
        <v>950</v>
      </c>
    </row>
    <row r="1678" spans="1:1" x14ac:dyDescent="0.25">
      <c r="A1678" t="s">
        <v>160</v>
      </c>
    </row>
    <row r="1679" spans="1:1" x14ac:dyDescent="0.25">
      <c r="A1679" t="s">
        <v>951</v>
      </c>
    </row>
    <row r="1680" spans="1:1" x14ac:dyDescent="0.25">
      <c r="A1680" t="s">
        <v>827</v>
      </c>
    </row>
    <row r="1681" spans="1:1" x14ac:dyDescent="0.25">
      <c r="A1681" t="s">
        <v>828</v>
      </c>
    </row>
    <row r="1682" spans="1:1" x14ac:dyDescent="0.25">
      <c r="A1682" t="s">
        <v>262</v>
      </c>
    </row>
    <row r="1683" spans="1:1" x14ac:dyDescent="0.25">
      <c r="A1683" t="s">
        <v>168</v>
      </c>
    </row>
    <row r="1684" spans="1:1" x14ac:dyDescent="0.25">
      <c r="A1684" t="s">
        <v>21</v>
      </c>
    </row>
    <row r="1686" spans="1:1" x14ac:dyDescent="0.25">
      <c r="A1686" t="s">
        <v>1090</v>
      </c>
    </row>
    <row r="1687" spans="1:1" x14ac:dyDescent="0.25">
      <c r="A1687" t="s">
        <v>260</v>
      </c>
    </row>
    <row r="1688" spans="1:1" x14ac:dyDescent="0.25">
      <c r="A1688" t="s">
        <v>1091</v>
      </c>
    </row>
    <row r="1689" spans="1:1" x14ac:dyDescent="0.25">
      <c r="A1689" t="s">
        <v>262</v>
      </c>
    </row>
    <row r="1690" spans="1:1" x14ac:dyDescent="0.25">
      <c r="A1690" t="s">
        <v>1092</v>
      </c>
    </row>
    <row r="1691" spans="1:1" x14ac:dyDescent="0.25">
      <c r="A1691" t="s">
        <v>1093</v>
      </c>
    </row>
    <row r="1692" spans="1:1" x14ac:dyDescent="0.25">
      <c r="A1692" t="s">
        <v>1094</v>
      </c>
    </row>
    <row r="1693" spans="1:1" x14ac:dyDescent="0.25">
      <c r="A1693" t="s">
        <v>1095</v>
      </c>
    </row>
    <row r="1694" spans="1:1" x14ac:dyDescent="0.25">
      <c r="A1694" t="s">
        <v>1096</v>
      </c>
    </row>
    <row r="1695" spans="1:1" x14ac:dyDescent="0.25">
      <c r="A1695" t="s">
        <v>233</v>
      </c>
    </row>
    <row r="1696" spans="1:1" x14ac:dyDescent="0.25">
      <c r="A1696" t="s">
        <v>1097</v>
      </c>
    </row>
    <row r="1697" spans="1:1" x14ac:dyDescent="0.25">
      <c r="A1697" t="s">
        <v>1098</v>
      </c>
    </row>
    <row r="1698" spans="1:1" x14ac:dyDescent="0.25">
      <c r="A1698" t="s">
        <v>1099</v>
      </c>
    </row>
    <row r="1699" spans="1:1" x14ac:dyDescent="0.25">
      <c r="A1699" t="s">
        <v>583</v>
      </c>
    </row>
    <row r="1700" spans="1:1" x14ac:dyDescent="0.25">
      <c r="A1700" t="s">
        <v>168</v>
      </c>
    </row>
    <row r="1701" spans="1:1" x14ac:dyDescent="0.25">
      <c r="A1701" t="s">
        <v>1100</v>
      </c>
    </row>
    <row r="1702" spans="1:1" x14ac:dyDescent="0.25">
      <c r="A1702" t="s">
        <v>1101</v>
      </c>
    </row>
    <row r="1703" spans="1:1" x14ac:dyDescent="0.25">
      <c r="A1703" t="s">
        <v>1099</v>
      </c>
    </row>
    <row r="1704" spans="1:1" x14ac:dyDescent="0.25">
      <c r="A1704" t="s">
        <v>583</v>
      </c>
    </row>
    <row r="1705" spans="1:1" x14ac:dyDescent="0.25">
      <c r="A1705" t="s">
        <v>168</v>
      </c>
    </row>
    <row r="1706" spans="1:1" x14ac:dyDescent="0.25">
      <c r="A1706" t="s">
        <v>1102</v>
      </c>
    </row>
    <row r="1707" spans="1:1" x14ac:dyDescent="0.25">
      <c r="A1707" t="s">
        <v>1103</v>
      </c>
    </row>
    <row r="1708" spans="1:1" x14ac:dyDescent="0.25">
      <c r="A1708" t="s">
        <v>1104</v>
      </c>
    </row>
    <row r="1709" spans="1:1" x14ac:dyDescent="0.25">
      <c r="A1709" t="s">
        <v>1105</v>
      </c>
    </row>
    <row r="1710" spans="1:1" x14ac:dyDescent="0.25">
      <c r="A1710" t="s">
        <v>260</v>
      </c>
    </row>
    <row r="1711" spans="1:1" x14ac:dyDescent="0.25">
      <c r="A1711" t="s">
        <v>1106</v>
      </c>
    </row>
    <row r="1712" spans="1:1" x14ac:dyDescent="0.25">
      <c r="A1712" t="s">
        <v>262</v>
      </c>
    </row>
    <row r="1713" spans="1:1" x14ac:dyDescent="0.25">
      <c r="A1713" t="s">
        <v>1107</v>
      </c>
    </row>
    <row r="1714" spans="1:1" x14ac:dyDescent="0.25">
      <c r="A1714" t="s">
        <v>21</v>
      </c>
    </row>
    <row r="1716" spans="1:1" x14ac:dyDescent="0.25">
      <c r="A1716" t="s">
        <v>1108</v>
      </c>
    </row>
    <row r="1717" spans="1:1" x14ac:dyDescent="0.25">
      <c r="A1717" t="s">
        <v>233</v>
      </c>
    </row>
    <row r="1718" spans="1:1" x14ac:dyDescent="0.25">
      <c r="A1718" t="s">
        <v>1097</v>
      </c>
    </row>
    <row r="1719" spans="1:1" x14ac:dyDescent="0.25">
      <c r="A1719" t="s">
        <v>1098</v>
      </c>
    </row>
    <row r="1720" spans="1:1" x14ac:dyDescent="0.25">
      <c r="A1720" t="s">
        <v>1099</v>
      </c>
    </row>
    <row r="1721" spans="1:1" x14ac:dyDescent="0.25">
      <c r="A1721" t="s">
        <v>583</v>
      </c>
    </row>
    <row r="1722" spans="1:1" x14ac:dyDescent="0.25">
      <c r="A1722" t="s">
        <v>168</v>
      </c>
    </row>
    <row r="1723" spans="1:1" x14ac:dyDescent="0.25">
      <c r="A1723" t="s">
        <v>1100</v>
      </c>
    </row>
    <row r="1724" spans="1:1" x14ac:dyDescent="0.25">
      <c r="A1724" t="s">
        <v>1101</v>
      </c>
    </row>
    <row r="1725" spans="1:1" x14ac:dyDescent="0.25">
      <c r="A1725" t="s">
        <v>1099</v>
      </c>
    </row>
    <row r="1726" spans="1:1" x14ac:dyDescent="0.25">
      <c r="A1726" t="s">
        <v>583</v>
      </c>
    </row>
    <row r="1727" spans="1:1" x14ac:dyDescent="0.25">
      <c r="A1727" t="s">
        <v>168</v>
      </c>
    </row>
    <row r="1728" spans="1:1" x14ac:dyDescent="0.25">
      <c r="A1728" t="s">
        <v>1102</v>
      </c>
    </row>
    <row r="1729" spans="1:1" x14ac:dyDescent="0.25">
      <c r="A1729" t="s">
        <v>21</v>
      </c>
    </row>
    <row r="1733" spans="1:1" x14ac:dyDescent="0.25">
      <c r="A1733" t="s">
        <v>1109</v>
      </c>
    </row>
    <row r="1734" spans="1:1" x14ac:dyDescent="0.25">
      <c r="A1734" t="s">
        <v>1110</v>
      </c>
    </row>
    <row r="1735" spans="1:1" x14ac:dyDescent="0.25">
      <c r="A1735" t="s">
        <v>1111</v>
      </c>
    </row>
    <row r="1736" spans="1:1" x14ac:dyDescent="0.25">
      <c r="A1736" t="s">
        <v>1112</v>
      </c>
    </row>
    <row r="1737" spans="1:1" x14ac:dyDescent="0.25">
      <c r="A1737" t="s">
        <v>1113</v>
      </c>
    </row>
    <row r="1738" spans="1:1" x14ac:dyDescent="0.25">
      <c r="A1738" t="s">
        <v>1114</v>
      </c>
    </row>
    <row r="1739" spans="1:1" x14ac:dyDescent="0.25">
      <c r="A1739" t="s">
        <v>1115</v>
      </c>
    </row>
    <row r="1740" spans="1:1" x14ac:dyDescent="0.25">
      <c r="A1740" t="s">
        <v>1116</v>
      </c>
    </row>
    <row r="1741" spans="1:1" x14ac:dyDescent="0.25">
      <c r="A1741" t="s">
        <v>1117</v>
      </c>
    </row>
    <row r="1742" spans="1:1" x14ac:dyDescent="0.25">
      <c r="A1742" t="s">
        <v>1118</v>
      </c>
    </row>
    <row r="1743" spans="1:1" x14ac:dyDescent="0.25">
      <c r="A1743" t="s">
        <v>1119</v>
      </c>
    </row>
    <row r="1744" spans="1:1" x14ac:dyDescent="0.25">
      <c r="A1744" t="s">
        <v>1120</v>
      </c>
    </row>
    <row r="1745" spans="1:1" x14ac:dyDescent="0.25">
      <c r="A1745" t="s">
        <v>1121</v>
      </c>
    </row>
    <row r="1746" spans="1:1" x14ac:dyDescent="0.25">
      <c r="A1746" t="s">
        <v>1122</v>
      </c>
    </row>
    <row r="1747" spans="1:1" x14ac:dyDescent="0.25">
      <c r="A1747" t="s">
        <v>1123</v>
      </c>
    </row>
    <row r="1748" spans="1:1" x14ac:dyDescent="0.25">
      <c r="A1748" t="s">
        <v>1124</v>
      </c>
    </row>
    <row r="1749" spans="1:1" x14ac:dyDescent="0.25">
      <c r="A1749" t="s">
        <v>1125</v>
      </c>
    </row>
    <row r="1750" spans="1:1" x14ac:dyDescent="0.25">
      <c r="A1750" t="s">
        <v>1126</v>
      </c>
    </row>
    <row r="1751" spans="1:1" x14ac:dyDescent="0.25">
      <c r="A1751" t="s">
        <v>1127</v>
      </c>
    </row>
    <row r="1752" spans="1:1" x14ac:dyDescent="0.25">
      <c r="A1752" t="s">
        <v>21</v>
      </c>
    </row>
    <row r="1754" spans="1:1" x14ac:dyDescent="0.25">
      <c r="A1754" t="s">
        <v>1128</v>
      </c>
    </row>
    <row r="1755" spans="1:1" x14ac:dyDescent="0.25">
      <c r="A1755" t="s">
        <v>1129</v>
      </c>
    </row>
    <row r="1756" spans="1:1" x14ac:dyDescent="0.25">
      <c r="A1756" t="s">
        <v>1130</v>
      </c>
    </row>
    <row r="1757" spans="1:1" x14ac:dyDescent="0.25">
      <c r="A1757" t="s">
        <v>1131</v>
      </c>
    </row>
    <row r="1758" spans="1:1" x14ac:dyDescent="0.25">
      <c r="A1758" t="s">
        <v>1132</v>
      </c>
    </row>
    <row r="1759" spans="1:1" x14ac:dyDescent="0.25">
      <c r="A1759" t="s">
        <v>1133</v>
      </c>
    </row>
    <row r="1760" spans="1:1" x14ac:dyDescent="0.25">
      <c r="A1760" t="s">
        <v>1134</v>
      </c>
    </row>
    <row r="1761" spans="1:1" x14ac:dyDescent="0.25">
      <c r="A1761" t="s">
        <v>1135</v>
      </c>
    </row>
    <row r="1762" spans="1:1" x14ac:dyDescent="0.25">
      <c r="A1762" t="s">
        <v>1136</v>
      </c>
    </row>
    <row r="1763" spans="1:1" x14ac:dyDescent="0.25">
      <c r="A1763" t="s">
        <v>21</v>
      </c>
    </row>
    <row r="1764" spans="1:1" x14ac:dyDescent="0.25">
      <c r="A1764" t="s">
        <v>1135</v>
      </c>
    </row>
    <row r="1765" spans="1:1" x14ac:dyDescent="0.25">
      <c r="A1765" t="s">
        <v>1137</v>
      </c>
    </row>
    <row r="1766" spans="1:1" x14ac:dyDescent="0.25">
      <c r="A1766" t="s">
        <v>1138</v>
      </c>
    </row>
    <row r="1767" spans="1:1" x14ac:dyDescent="0.25">
      <c r="A1767" t="s">
        <v>1139</v>
      </c>
    </row>
    <row r="1768" spans="1:1" x14ac:dyDescent="0.25">
      <c r="A1768" t="s">
        <v>1140</v>
      </c>
    </row>
    <row r="1769" spans="1:1" x14ac:dyDescent="0.25">
      <c r="A1769" t="s">
        <v>1141</v>
      </c>
    </row>
    <row r="1770" spans="1:1" x14ac:dyDescent="0.25">
      <c r="A1770" t="s">
        <v>21</v>
      </c>
    </row>
    <row r="1772" spans="1:1" x14ac:dyDescent="0.25">
      <c r="A1772" t="s">
        <v>1142</v>
      </c>
    </row>
    <row r="1773" spans="1:1" x14ac:dyDescent="0.25">
      <c r="A1773" t="s">
        <v>1143</v>
      </c>
    </row>
    <row r="1774" spans="1:1" x14ac:dyDescent="0.25">
      <c r="A1774" t="s">
        <v>1144</v>
      </c>
    </row>
    <row r="1775" spans="1:1" x14ac:dyDescent="0.25">
      <c r="A1775" t="s">
        <v>1069</v>
      </c>
    </row>
    <row r="1776" spans="1:1" x14ac:dyDescent="0.25">
      <c r="A1776" t="s">
        <v>1071</v>
      </c>
    </row>
    <row r="1777" spans="1:1" x14ac:dyDescent="0.25">
      <c r="A1777" t="s">
        <v>1072</v>
      </c>
    </row>
    <row r="1778" spans="1:1" x14ac:dyDescent="0.25">
      <c r="A1778" t="s">
        <v>21</v>
      </c>
    </row>
    <row r="1779" spans="1:1" x14ac:dyDescent="0.25">
      <c r="A1779" t="s">
        <v>1108</v>
      </c>
    </row>
    <row r="1780" spans="1:1" x14ac:dyDescent="0.25">
      <c r="A1780" t="s">
        <v>156</v>
      </c>
    </row>
    <row r="1781" spans="1:1" x14ac:dyDescent="0.25">
      <c r="A1781" t="s">
        <v>1145</v>
      </c>
    </row>
    <row r="1782" spans="1:1" x14ac:dyDescent="0.25">
      <c r="A1782" t="s">
        <v>1146</v>
      </c>
    </row>
    <row r="1783" spans="1:1" x14ac:dyDescent="0.25">
      <c r="A1783" t="s">
        <v>21</v>
      </c>
    </row>
    <row r="1784" spans="1:1" x14ac:dyDescent="0.25">
      <c r="A1784" t="s">
        <v>1147</v>
      </c>
    </row>
    <row r="1785" spans="1:1" x14ac:dyDescent="0.25">
      <c r="A1785" t="s">
        <v>156</v>
      </c>
    </row>
    <row r="1786" spans="1:1" x14ac:dyDescent="0.25">
      <c r="A1786" t="s">
        <v>1148</v>
      </c>
    </row>
    <row r="1787" spans="1:1" x14ac:dyDescent="0.25">
      <c r="A1787" t="s">
        <v>21</v>
      </c>
    </row>
    <row r="1788" spans="1:1" x14ac:dyDescent="0.25">
      <c r="A1788" t="s">
        <v>1149</v>
      </c>
    </row>
    <row r="1789" spans="1:1" x14ac:dyDescent="0.25">
      <c r="A1789" t="s">
        <v>1150</v>
      </c>
    </row>
    <row r="1790" spans="1:1" x14ac:dyDescent="0.25">
      <c r="A1790" t="s">
        <v>1151</v>
      </c>
    </row>
    <row r="1791" spans="1:1" x14ac:dyDescent="0.25">
      <c r="A1791" t="s">
        <v>160</v>
      </c>
    </row>
    <row r="1792" spans="1:1" x14ac:dyDescent="0.25">
      <c r="A1792" t="s">
        <v>826</v>
      </c>
    </row>
    <row r="1793" spans="1:1" x14ac:dyDescent="0.25">
      <c r="A1793" t="s">
        <v>827</v>
      </c>
    </row>
    <row r="1794" spans="1:1" x14ac:dyDescent="0.25">
      <c r="A1794" t="s">
        <v>828</v>
      </c>
    </row>
    <row r="1795" spans="1:1" x14ac:dyDescent="0.25">
      <c r="A1795" t="s">
        <v>262</v>
      </c>
    </row>
    <row r="1796" spans="1:1" x14ac:dyDescent="0.25">
      <c r="A1796" t="s">
        <v>168</v>
      </c>
    </row>
    <row r="1797" spans="1:1" x14ac:dyDescent="0.25">
      <c r="A1797" t="s">
        <v>21</v>
      </c>
    </row>
    <row r="1799" spans="1:1" x14ac:dyDescent="0.25">
      <c r="A1799" t="s">
        <v>1152</v>
      </c>
    </row>
    <row r="1800" spans="1:1" x14ac:dyDescent="0.25">
      <c r="A1800" t="s">
        <v>1153</v>
      </c>
    </row>
    <row r="1801" spans="1:1" x14ac:dyDescent="0.25">
      <c r="A1801" t="s">
        <v>1154</v>
      </c>
    </row>
    <row r="1802" spans="1:1" x14ac:dyDescent="0.25">
      <c r="A1802" t="s">
        <v>1155</v>
      </c>
    </row>
    <row r="1803" spans="1:1" x14ac:dyDescent="0.25">
      <c r="A1803" t="s">
        <v>1156</v>
      </c>
    </row>
    <row r="1804" spans="1:1" x14ac:dyDescent="0.25">
      <c r="A1804" t="s">
        <v>1157</v>
      </c>
    </row>
    <row r="1805" spans="1:1" x14ac:dyDescent="0.25">
      <c r="A1805" t="s">
        <v>1158</v>
      </c>
    </row>
    <row r="1806" spans="1:1" x14ac:dyDescent="0.25">
      <c r="A1806" t="s">
        <v>1159</v>
      </c>
    </row>
    <row r="1807" spans="1:1" x14ac:dyDescent="0.25">
      <c r="A1807" t="s">
        <v>1160</v>
      </c>
    </row>
    <row r="1808" spans="1:1" x14ac:dyDescent="0.25">
      <c r="A1808" t="s">
        <v>21</v>
      </c>
    </row>
    <row r="1812" spans="1:1" x14ac:dyDescent="0.25">
      <c r="A1812" t="s">
        <v>1161</v>
      </c>
    </row>
    <row r="1813" spans="1:1" x14ac:dyDescent="0.25">
      <c r="A1813" t="s">
        <v>1162</v>
      </c>
    </row>
    <row r="1814" spans="1:1" x14ac:dyDescent="0.25">
      <c r="A1814" t="s">
        <v>495</v>
      </c>
    </row>
    <row r="1815" spans="1:1" x14ac:dyDescent="0.25">
      <c r="A1815" t="s">
        <v>1163</v>
      </c>
    </row>
    <row r="1816" spans="1:1" x14ac:dyDescent="0.25">
      <c r="A1816" t="s">
        <v>278</v>
      </c>
    </row>
    <row r="1817" spans="1:1" x14ac:dyDescent="0.25">
      <c r="A1817" t="s">
        <v>1164</v>
      </c>
    </row>
    <row r="1818" spans="1:1" x14ac:dyDescent="0.25">
      <c r="A1818" t="s">
        <v>1165</v>
      </c>
    </row>
    <row r="1819" spans="1:1" x14ac:dyDescent="0.25">
      <c r="A1819" t="s">
        <v>1166</v>
      </c>
    </row>
    <row r="1820" spans="1:1" x14ac:dyDescent="0.25">
      <c r="A1820" t="s">
        <v>168</v>
      </c>
    </row>
    <row r="1821" spans="1:1" x14ac:dyDescent="0.25">
      <c r="A1821" t="s">
        <v>21</v>
      </c>
    </row>
    <row r="1823" spans="1:1" x14ac:dyDescent="0.25">
      <c r="A1823" t="s">
        <v>1167</v>
      </c>
    </row>
    <row r="1824" spans="1:1" x14ac:dyDescent="0.25">
      <c r="A1824" t="s">
        <v>1168</v>
      </c>
    </row>
    <row r="1825" spans="1:1" x14ac:dyDescent="0.25">
      <c r="A1825" t="s">
        <v>1169</v>
      </c>
    </row>
    <row r="1826" spans="1:1" x14ac:dyDescent="0.25">
      <c r="A1826" t="s">
        <v>1170</v>
      </c>
    </row>
    <row r="1827" spans="1:1" x14ac:dyDescent="0.25">
      <c r="A1827" t="s">
        <v>1171</v>
      </c>
    </row>
    <row r="1828" spans="1:1" x14ac:dyDescent="0.25">
      <c r="A1828" t="s">
        <v>168</v>
      </c>
    </row>
    <row r="1829" spans="1:1" x14ac:dyDescent="0.25">
      <c r="A1829" t="s">
        <v>1172</v>
      </c>
    </row>
    <row r="1830" spans="1:1" x14ac:dyDescent="0.25">
      <c r="A1830" t="s">
        <v>21</v>
      </c>
    </row>
    <row r="1832" spans="1:1" x14ac:dyDescent="0.25">
      <c r="A1832" t="s">
        <v>605</v>
      </c>
    </row>
    <row r="1833" spans="1:1" x14ac:dyDescent="0.25">
      <c r="A1833" t="s">
        <v>1173</v>
      </c>
    </row>
    <row r="1834" spans="1:1" x14ac:dyDescent="0.25">
      <c r="A1834" t="s">
        <v>1174</v>
      </c>
    </row>
    <row r="1835" spans="1:1" x14ac:dyDescent="0.25">
      <c r="A1835" t="s">
        <v>1175</v>
      </c>
    </row>
    <row r="1836" spans="1:1" x14ac:dyDescent="0.25">
      <c r="A1836" t="s">
        <v>809</v>
      </c>
    </row>
    <row r="1837" spans="1:1" x14ac:dyDescent="0.25">
      <c r="A1837" t="s">
        <v>810</v>
      </c>
    </row>
    <row r="1838" spans="1:1" x14ac:dyDescent="0.25">
      <c r="A1838" t="s">
        <v>811</v>
      </c>
    </row>
    <row r="1839" spans="1:1" x14ac:dyDescent="0.25">
      <c r="A1839" t="s">
        <v>398</v>
      </c>
    </row>
    <row r="1840" spans="1:1" x14ac:dyDescent="0.25">
      <c r="A1840" t="s">
        <v>812</v>
      </c>
    </row>
    <row r="1841" spans="1:1" x14ac:dyDescent="0.25">
      <c r="A1841" t="s">
        <v>1176</v>
      </c>
    </row>
    <row r="1842" spans="1:1" x14ac:dyDescent="0.25">
      <c r="A1842" t="s">
        <v>21</v>
      </c>
    </row>
    <row r="1844" spans="1:1" x14ac:dyDescent="0.25">
      <c r="A1844" t="s">
        <v>1177</v>
      </c>
    </row>
    <row r="1845" spans="1:1" x14ac:dyDescent="0.25">
      <c r="A1845" t="s">
        <v>1178</v>
      </c>
    </row>
    <row r="1846" spans="1:1" x14ac:dyDescent="0.25">
      <c r="A1846" t="s">
        <v>1179</v>
      </c>
    </row>
    <row r="1847" spans="1:1" x14ac:dyDescent="0.25">
      <c r="A1847" t="s">
        <v>1180</v>
      </c>
    </row>
    <row r="1848" spans="1:1" x14ac:dyDescent="0.25">
      <c r="A1848" t="s">
        <v>1181</v>
      </c>
    </row>
    <row r="1849" spans="1:1" x14ac:dyDescent="0.25">
      <c r="A1849" t="s">
        <v>1182</v>
      </c>
    </row>
    <row r="1850" spans="1:1" x14ac:dyDescent="0.25">
      <c r="A1850" t="s">
        <v>168</v>
      </c>
    </row>
    <row r="1851" spans="1:1" x14ac:dyDescent="0.25">
      <c r="A1851" t="s">
        <v>21</v>
      </c>
    </row>
    <row r="1853" spans="1:1" x14ac:dyDescent="0.25">
      <c r="A1853" t="s">
        <v>1183</v>
      </c>
    </row>
    <row r="1854" spans="1:1" x14ac:dyDescent="0.25">
      <c r="A1854" t="s">
        <v>1000</v>
      </c>
    </row>
    <row r="1855" spans="1:1" x14ac:dyDescent="0.25">
      <c r="A1855" t="s">
        <v>1184</v>
      </c>
    </row>
    <row r="1856" spans="1:1" x14ac:dyDescent="0.25">
      <c r="A1856" t="s">
        <v>160</v>
      </c>
    </row>
    <row r="1857" spans="1:1" x14ac:dyDescent="0.25">
      <c r="A1857" t="s">
        <v>1185</v>
      </c>
    </row>
    <row r="1858" spans="1:1" x14ac:dyDescent="0.25">
      <c r="A1858" t="s">
        <v>168</v>
      </c>
    </row>
    <row r="1859" spans="1:1" x14ac:dyDescent="0.25">
      <c r="A1859" t="s">
        <v>21</v>
      </c>
    </row>
    <row r="1861" spans="1:1" x14ac:dyDescent="0.25">
      <c r="A1861" t="s">
        <v>1186</v>
      </c>
    </row>
    <row r="1862" spans="1:1" x14ac:dyDescent="0.25">
      <c r="A1862" t="s">
        <v>1187</v>
      </c>
    </row>
    <row r="1863" spans="1:1" x14ac:dyDescent="0.25">
      <c r="A1863" t="s">
        <v>1188</v>
      </c>
    </row>
    <row r="1864" spans="1:1" x14ac:dyDescent="0.25">
      <c r="A1864" t="s">
        <v>1189</v>
      </c>
    </row>
    <row r="1865" spans="1:1" x14ac:dyDescent="0.25">
      <c r="A1865" t="s">
        <v>1190</v>
      </c>
    </row>
    <row r="1866" spans="1:1" x14ac:dyDescent="0.25">
      <c r="A1866" t="s">
        <v>1191</v>
      </c>
    </row>
    <row r="1867" spans="1:1" x14ac:dyDescent="0.25">
      <c r="A1867" t="s">
        <v>1192</v>
      </c>
    </row>
    <row r="1868" spans="1:1" x14ac:dyDescent="0.25">
      <c r="A1868" t="s">
        <v>1193</v>
      </c>
    </row>
    <row r="1869" spans="1:1" x14ac:dyDescent="0.25">
      <c r="A1869" t="s">
        <v>1194</v>
      </c>
    </row>
    <row r="1870" spans="1:1" x14ac:dyDescent="0.25">
      <c r="A1870" t="s">
        <v>1195</v>
      </c>
    </row>
    <row r="1871" spans="1:1" x14ac:dyDescent="0.25">
      <c r="A1871" t="s">
        <v>1196</v>
      </c>
    </row>
    <row r="1872" spans="1:1" x14ac:dyDescent="0.25">
      <c r="A1872" t="s">
        <v>1197</v>
      </c>
    </row>
    <row r="1873" spans="1:1" x14ac:dyDescent="0.25">
      <c r="A1873" t="s">
        <v>1198</v>
      </c>
    </row>
    <row r="1874" spans="1:1" x14ac:dyDescent="0.25">
      <c r="A1874" t="s">
        <v>1199</v>
      </c>
    </row>
    <row r="1875" spans="1:1" x14ac:dyDescent="0.25">
      <c r="A1875" t="s">
        <v>1200</v>
      </c>
    </row>
    <row r="1876" spans="1:1" x14ac:dyDescent="0.25">
      <c r="A1876" t="s">
        <v>1201</v>
      </c>
    </row>
    <row r="1877" spans="1:1" x14ac:dyDescent="0.25">
      <c r="A1877" t="s">
        <v>1202</v>
      </c>
    </row>
    <row r="1878" spans="1:1" x14ac:dyDescent="0.25">
      <c r="A1878" t="s">
        <v>21</v>
      </c>
    </row>
    <row r="1880" spans="1:1" x14ac:dyDescent="0.25">
      <c r="A1880" t="s">
        <v>1203</v>
      </c>
    </row>
    <row r="1881" spans="1:1" x14ac:dyDescent="0.25">
      <c r="A1881" t="s">
        <v>1187</v>
      </c>
    </row>
    <row r="1882" spans="1:1" x14ac:dyDescent="0.25">
      <c r="A1882" t="s">
        <v>1188</v>
      </c>
    </row>
    <row r="1883" spans="1:1" x14ac:dyDescent="0.25">
      <c r="A1883" t="s">
        <v>1189</v>
      </c>
    </row>
    <row r="1884" spans="1:1" x14ac:dyDescent="0.25">
      <c r="A1884" t="s">
        <v>1190</v>
      </c>
    </row>
    <row r="1885" spans="1:1" x14ac:dyDescent="0.25">
      <c r="A1885" t="s">
        <v>1191</v>
      </c>
    </row>
    <row r="1886" spans="1:1" x14ac:dyDescent="0.25">
      <c r="A1886" t="s">
        <v>1192</v>
      </c>
    </row>
    <row r="1887" spans="1:1" x14ac:dyDescent="0.25">
      <c r="A1887" t="s">
        <v>1193</v>
      </c>
    </row>
    <row r="1888" spans="1:1" x14ac:dyDescent="0.25">
      <c r="A1888" t="s">
        <v>1194</v>
      </c>
    </row>
    <row r="1889" spans="1:1" x14ac:dyDescent="0.25">
      <c r="A1889" t="s">
        <v>1195</v>
      </c>
    </row>
    <row r="1890" spans="1:1" x14ac:dyDescent="0.25">
      <c r="A1890" t="s">
        <v>1196</v>
      </c>
    </row>
    <row r="1891" spans="1:1" x14ac:dyDescent="0.25">
      <c r="A1891" t="s">
        <v>1197</v>
      </c>
    </row>
    <row r="1892" spans="1:1" x14ac:dyDescent="0.25">
      <c r="A1892" t="s">
        <v>1198</v>
      </c>
    </row>
    <row r="1893" spans="1:1" x14ac:dyDescent="0.25">
      <c r="A1893" t="s">
        <v>1199</v>
      </c>
    </row>
    <row r="1894" spans="1:1" x14ac:dyDescent="0.25">
      <c r="A1894" t="s">
        <v>1200</v>
      </c>
    </row>
    <row r="1895" spans="1:1" x14ac:dyDescent="0.25">
      <c r="A1895" t="s">
        <v>1201</v>
      </c>
    </row>
    <row r="1896" spans="1:1" x14ac:dyDescent="0.25">
      <c r="A1896" t="s">
        <v>1202</v>
      </c>
    </row>
    <row r="1897" spans="1:1" x14ac:dyDescent="0.25">
      <c r="A1897" t="s">
        <v>21</v>
      </c>
    </row>
    <row r="1899" spans="1:1" x14ac:dyDescent="0.25">
      <c r="A1899" t="s">
        <v>1204</v>
      </c>
    </row>
    <row r="1900" spans="1:1" x14ac:dyDescent="0.25">
      <c r="A1900" t="s">
        <v>1205</v>
      </c>
    </row>
    <row r="1901" spans="1:1" x14ac:dyDescent="0.25">
      <c r="A1901" t="s">
        <v>1206</v>
      </c>
    </row>
    <row r="1902" spans="1:1" x14ac:dyDescent="0.25">
      <c r="A1902" t="s">
        <v>1207</v>
      </c>
    </row>
    <row r="1903" spans="1:1" x14ac:dyDescent="0.25">
      <c r="A1903" t="s">
        <v>1208</v>
      </c>
    </row>
    <row r="1904" spans="1:1" x14ac:dyDescent="0.25">
      <c r="A1904" t="s">
        <v>1209</v>
      </c>
    </row>
    <row r="1905" spans="1:1" x14ac:dyDescent="0.25">
      <c r="A1905" t="s">
        <v>1210</v>
      </c>
    </row>
    <row r="1906" spans="1:1" x14ac:dyDescent="0.25">
      <c r="A1906" t="s">
        <v>1211</v>
      </c>
    </row>
    <row r="1907" spans="1:1" x14ac:dyDescent="0.25">
      <c r="A1907" t="s">
        <v>1212</v>
      </c>
    </row>
    <row r="1908" spans="1:1" x14ac:dyDescent="0.25">
      <c r="A1908" t="s">
        <v>1213</v>
      </c>
    </row>
    <row r="1909" spans="1:1" x14ac:dyDescent="0.25">
      <c r="A1909" t="s">
        <v>1214</v>
      </c>
    </row>
    <row r="1910" spans="1:1" x14ac:dyDescent="0.25">
      <c r="A1910" t="s">
        <v>1215</v>
      </c>
    </row>
    <row r="1911" spans="1:1" x14ac:dyDescent="0.25">
      <c r="A1911" t="s">
        <v>1216</v>
      </c>
    </row>
    <row r="1912" spans="1:1" x14ac:dyDescent="0.25">
      <c r="A1912" t="s">
        <v>21</v>
      </c>
    </row>
    <row r="1913" spans="1:1" x14ac:dyDescent="0.25">
      <c r="A1913" t="s">
        <v>1217</v>
      </c>
    </row>
    <row r="1914" spans="1:1" x14ac:dyDescent="0.25">
      <c r="A1914" t="s">
        <v>1218</v>
      </c>
    </row>
    <row r="1915" spans="1:1" x14ac:dyDescent="0.25">
      <c r="A1915" t="s">
        <v>1206</v>
      </c>
    </row>
    <row r="1916" spans="1:1" x14ac:dyDescent="0.25">
      <c r="A1916" t="s">
        <v>1207</v>
      </c>
    </row>
    <row r="1917" spans="1:1" x14ac:dyDescent="0.25">
      <c r="A1917" t="s">
        <v>1219</v>
      </c>
    </row>
    <row r="1918" spans="1:1" x14ac:dyDescent="0.25">
      <c r="A1918" t="s">
        <v>1220</v>
      </c>
    </row>
    <row r="1919" spans="1:1" x14ac:dyDescent="0.25">
      <c r="A1919" t="s">
        <v>1221</v>
      </c>
    </row>
    <row r="1920" spans="1:1" x14ac:dyDescent="0.25">
      <c r="A1920" t="s">
        <v>1209</v>
      </c>
    </row>
    <row r="1921" spans="1:1" x14ac:dyDescent="0.25">
      <c r="A1921" t="s">
        <v>1222</v>
      </c>
    </row>
    <row r="1922" spans="1:1" x14ac:dyDescent="0.25">
      <c r="A1922" t="s">
        <v>1223</v>
      </c>
    </row>
    <row r="1923" spans="1:1" x14ac:dyDescent="0.25">
      <c r="A1923" t="s">
        <v>1224</v>
      </c>
    </row>
    <row r="1924" spans="1:1" x14ac:dyDescent="0.25">
      <c r="A1924" t="s">
        <v>1225</v>
      </c>
    </row>
    <row r="1925" spans="1:1" x14ac:dyDescent="0.25">
      <c r="A1925" t="s">
        <v>1226</v>
      </c>
    </row>
    <row r="1926" spans="1:1" x14ac:dyDescent="0.25">
      <c r="A1926" t="s">
        <v>1213</v>
      </c>
    </row>
    <row r="1927" spans="1:1" x14ac:dyDescent="0.25">
      <c r="A1927" t="s">
        <v>1214</v>
      </c>
    </row>
    <row r="1928" spans="1:1" x14ac:dyDescent="0.25">
      <c r="A1928" t="s">
        <v>1215</v>
      </c>
    </row>
    <row r="1929" spans="1:1" x14ac:dyDescent="0.25">
      <c r="A1929" t="s">
        <v>1227</v>
      </c>
    </row>
    <row r="1930" spans="1:1" x14ac:dyDescent="0.25">
      <c r="A1930" t="s">
        <v>21</v>
      </c>
    </row>
    <row r="1931" spans="1:1" x14ac:dyDescent="0.25">
      <c r="A1931" t="s">
        <v>947</v>
      </c>
    </row>
    <row r="1932" spans="1:1" x14ac:dyDescent="0.25">
      <c r="A1932" t="s">
        <v>948</v>
      </c>
    </row>
    <row r="1933" spans="1:1" x14ac:dyDescent="0.25">
      <c r="A1933" t="s">
        <v>949</v>
      </c>
    </row>
    <row r="1934" spans="1:1" x14ac:dyDescent="0.25">
      <c r="A1934" t="s">
        <v>950</v>
      </c>
    </row>
    <row r="1935" spans="1:1" x14ac:dyDescent="0.25">
      <c r="A1935" t="s">
        <v>160</v>
      </c>
    </row>
    <row r="1936" spans="1:1" x14ac:dyDescent="0.25">
      <c r="A1936" t="s">
        <v>951</v>
      </c>
    </row>
    <row r="1937" spans="1:1" x14ac:dyDescent="0.25">
      <c r="A1937" t="s">
        <v>827</v>
      </c>
    </row>
    <row r="1938" spans="1:1" x14ac:dyDescent="0.25">
      <c r="A1938" t="s">
        <v>828</v>
      </c>
    </row>
    <row r="1939" spans="1:1" x14ac:dyDescent="0.25">
      <c r="A1939" t="s">
        <v>262</v>
      </c>
    </row>
    <row r="1940" spans="1:1" x14ac:dyDescent="0.25">
      <c r="A1940" t="s">
        <v>168</v>
      </c>
    </row>
    <row r="1941" spans="1:1" x14ac:dyDescent="0.25">
      <c r="A1941" t="s">
        <v>21</v>
      </c>
    </row>
    <row r="1942" spans="1:1" x14ac:dyDescent="0.25">
      <c r="A1942" t="s">
        <v>1008</v>
      </c>
    </row>
    <row r="1943" spans="1:1" x14ac:dyDescent="0.25">
      <c r="A1943" t="s">
        <v>1009</v>
      </c>
    </row>
    <row r="1944" spans="1:1" x14ac:dyDescent="0.25">
      <c r="A1944" t="s">
        <v>1144</v>
      </c>
    </row>
    <row r="1945" spans="1:1" x14ac:dyDescent="0.25">
      <c r="A1945" t="s">
        <v>1011</v>
      </c>
    </row>
    <row r="1946" spans="1:1" x14ac:dyDescent="0.25">
      <c r="A1946" t="s">
        <v>1071</v>
      </c>
    </row>
    <row r="1947" spans="1:1" x14ac:dyDescent="0.25">
      <c r="A1947" t="s">
        <v>1072</v>
      </c>
    </row>
    <row r="1948" spans="1:1" x14ac:dyDescent="0.25">
      <c r="A1948" t="s">
        <v>21</v>
      </c>
    </row>
    <row r="1950" spans="1:1" x14ac:dyDescent="0.25">
      <c r="A1950" t="s">
        <v>832</v>
      </c>
    </row>
    <row r="1951" spans="1:1" x14ac:dyDescent="0.25">
      <c r="A1951" t="s">
        <v>833</v>
      </c>
    </row>
    <row r="1952" spans="1:1" x14ac:dyDescent="0.25">
      <c r="A1952" t="s">
        <v>834</v>
      </c>
    </row>
    <row r="1953" spans="1:1" x14ac:dyDescent="0.25">
      <c r="A1953" t="s">
        <v>1228</v>
      </c>
    </row>
    <row r="1954" spans="1:1" x14ac:dyDescent="0.25">
      <c r="A1954" t="s">
        <v>836</v>
      </c>
    </row>
    <row r="1955" spans="1:1" x14ac:dyDescent="0.25">
      <c r="A1955" t="s">
        <v>837</v>
      </c>
    </row>
    <row r="1956" spans="1:1" x14ac:dyDescent="0.25">
      <c r="A1956" t="s">
        <v>838</v>
      </c>
    </row>
    <row r="1957" spans="1:1" x14ac:dyDescent="0.25">
      <c r="A1957" t="s">
        <v>1229</v>
      </c>
    </row>
    <row r="1958" spans="1:1" x14ac:dyDescent="0.25">
      <c r="A1958" t="s">
        <v>1230</v>
      </c>
    </row>
    <row r="1959" spans="1:1" x14ac:dyDescent="0.25">
      <c r="A1959" t="s">
        <v>1231</v>
      </c>
    </row>
    <row r="1960" spans="1:1" x14ac:dyDescent="0.25">
      <c r="A1960" t="s">
        <v>1232</v>
      </c>
    </row>
    <row r="1961" spans="1:1" x14ac:dyDescent="0.25">
      <c r="A1961" t="s">
        <v>21</v>
      </c>
    </row>
    <row r="1962" spans="1:1" x14ac:dyDescent="0.25">
      <c r="A1962" t="s">
        <v>840</v>
      </c>
    </row>
    <row r="1963" spans="1:1" x14ac:dyDescent="0.25">
      <c r="A1963" t="s">
        <v>841</v>
      </c>
    </row>
    <row r="1964" spans="1:1" x14ac:dyDescent="0.25">
      <c r="A1964" t="s">
        <v>842</v>
      </c>
    </row>
    <row r="1965" spans="1:1" x14ac:dyDescent="0.25">
      <c r="A1965" t="s">
        <v>1228</v>
      </c>
    </row>
    <row r="1966" spans="1:1" x14ac:dyDescent="0.25">
      <c r="A1966" t="s">
        <v>844</v>
      </c>
    </row>
    <row r="1967" spans="1:1" x14ac:dyDescent="0.25">
      <c r="A1967" t="s">
        <v>845</v>
      </c>
    </row>
    <row r="1968" spans="1:1" x14ac:dyDescent="0.25">
      <c r="A1968" t="s">
        <v>1233</v>
      </c>
    </row>
    <row r="1969" spans="1:1" x14ac:dyDescent="0.25">
      <c r="A1969" t="s">
        <v>849</v>
      </c>
    </row>
    <row r="1970" spans="1:1" x14ac:dyDescent="0.25">
      <c r="A1970" t="s">
        <v>1234</v>
      </c>
    </row>
    <row r="1971" spans="1:1" x14ac:dyDescent="0.25">
      <c r="A1971" t="s">
        <v>262</v>
      </c>
    </row>
    <row r="1972" spans="1:1" x14ac:dyDescent="0.25">
      <c r="A1972" t="s">
        <v>21</v>
      </c>
    </row>
    <row r="1973" spans="1:1" x14ac:dyDescent="0.25">
      <c r="A1973" t="s">
        <v>851</v>
      </c>
    </row>
    <row r="1974" spans="1:1" x14ac:dyDescent="0.25">
      <c r="A1974" t="s">
        <v>1235</v>
      </c>
    </row>
    <row r="1975" spans="1:1" x14ac:dyDescent="0.25">
      <c r="A1975" t="s">
        <v>842</v>
      </c>
    </row>
    <row r="1976" spans="1:1" x14ac:dyDescent="0.25">
      <c r="A1976" t="s">
        <v>1228</v>
      </c>
    </row>
    <row r="1977" spans="1:1" x14ac:dyDescent="0.25">
      <c r="A1977" t="s">
        <v>844</v>
      </c>
    </row>
    <row r="1978" spans="1:1" x14ac:dyDescent="0.25">
      <c r="A1978" t="s">
        <v>845</v>
      </c>
    </row>
    <row r="1979" spans="1:1" x14ac:dyDescent="0.25">
      <c r="A1979" t="s">
        <v>1236</v>
      </c>
    </row>
    <row r="1980" spans="1:1" x14ac:dyDescent="0.25">
      <c r="A1980" t="s">
        <v>849</v>
      </c>
    </row>
    <row r="1981" spans="1:1" x14ac:dyDescent="0.25">
      <c r="A1981" t="s">
        <v>1237</v>
      </c>
    </row>
    <row r="1982" spans="1:1" x14ac:dyDescent="0.25">
      <c r="A1982" t="s">
        <v>262</v>
      </c>
    </row>
    <row r="1983" spans="1:1" x14ac:dyDescent="0.25">
      <c r="A1983" t="s">
        <v>21</v>
      </c>
    </row>
    <row r="1984" spans="1:1" x14ac:dyDescent="0.25">
      <c r="A1984" t="s">
        <v>1238</v>
      </c>
    </row>
    <row r="1985" spans="1:1" x14ac:dyDescent="0.25">
      <c r="A1985" t="s">
        <v>1239</v>
      </c>
    </row>
    <row r="1986" spans="1:1" x14ac:dyDescent="0.25">
      <c r="A1986" t="s">
        <v>21</v>
      </c>
    </row>
    <row r="1987" spans="1:1" x14ac:dyDescent="0.25">
      <c r="A1987" t="s">
        <v>556</v>
      </c>
    </row>
    <row r="1988" spans="1:1" x14ac:dyDescent="0.25">
      <c r="A1988" t="s">
        <v>557</v>
      </c>
    </row>
    <row r="1989" spans="1:1" x14ac:dyDescent="0.25">
      <c r="A1989" t="s">
        <v>558</v>
      </c>
    </row>
    <row r="1990" spans="1:1" x14ac:dyDescent="0.25">
      <c r="A1990" t="s">
        <v>209</v>
      </c>
    </row>
    <row r="1991" spans="1:1" x14ac:dyDescent="0.25">
      <c r="A1991" t="s">
        <v>559</v>
      </c>
    </row>
    <row r="1992" spans="1:1" x14ac:dyDescent="0.25">
      <c r="A1992" t="s">
        <v>560</v>
      </c>
    </row>
    <row r="1993" spans="1:1" x14ac:dyDescent="0.25">
      <c r="A1993" t="s">
        <v>168</v>
      </c>
    </row>
    <row r="1994" spans="1:1" x14ac:dyDescent="0.25">
      <c r="A1994" t="s">
        <v>561</v>
      </c>
    </row>
    <row r="1995" spans="1:1" x14ac:dyDescent="0.25">
      <c r="A1995" t="s">
        <v>21</v>
      </c>
    </row>
    <row r="1996" spans="1:1" x14ac:dyDescent="0.25">
      <c r="A1996" t="s">
        <v>1080</v>
      </c>
    </row>
    <row r="1997" spans="1:1" x14ac:dyDescent="0.25">
      <c r="A1997" t="s">
        <v>1081</v>
      </c>
    </row>
    <row r="1998" spans="1:1" x14ac:dyDescent="0.25">
      <c r="A1998" t="s">
        <v>1082</v>
      </c>
    </row>
    <row r="1999" spans="1:1" x14ac:dyDescent="0.25">
      <c r="A1999" t="s">
        <v>21</v>
      </c>
    </row>
    <row r="2001" spans="1:1" x14ac:dyDescent="0.25">
      <c r="A2001" t="s">
        <v>1217</v>
      </c>
    </row>
    <row r="2002" spans="1:1" x14ac:dyDescent="0.25">
      <c r="A2002" t="s">
        <v>1240</v>
      </c>
    </row>
    <row r="2003" spans="1:1" x14ac:dyDescent="0.25">
      <c r="A2003" t="s">
        <v>1241</v>
      </c>
    </row>
    <row r="2004" spans="1:1" x14ac:dyDescent="0.25">
      <c r="A2004" t="s">
        <v>1242</v>
      </c>
    </row>
    <row r="2005" spans="1:1" x14ac:dyDescent="0.25">
      <c r="A2005" t="s">
        <v>1243</v>
      </c>
    </row>
    <row r="2006" spans="1:1" x14ac:dyDescent="0.25">
      <c r="A2006" t="s">
        <v>1244</v>
      </c>
    </row>
    <row r="2007" spans="1:1" x14ac:dyDescent="0.25">
      <c r="A2007" t="s">
        <v>1245</v>
      </c>
    </row>
    <row r="2008" spans="1:1" x14ac:dyDescent="0.25">
      <c r="A2008" t="s">
        <v>1246</v>
      </c>
    </row>
    <row r="2009" spans="1:1" x14ac:dyDescent="0.25">
      <c r="A2009" t="s">
        <v>1247</v>
      </c>
    </row>
    <row r="2010" spans="1:1" x14ac:dyDescent="0.25">
      <c r="A2010" t="s">
        <v>1248</v>
      </c>
    </row>
    <row r="2011" spans="1:1" x14ac:dyDescent="0.25">
      <c r="A2011" t="s">
        <v>1249</v>
      </c>
    </row>
    <row r="2012" spans="1:1" x14ac:dyDescent="0.25">
      <c r="A2012" t="s">
        <v>1250</v>
      </c>
    </row>
    <row r="2013" spans="1:1" x14ac:dyDescent="0.25">
      <c r="A2013" t="s">
        <v>21</v>
      </c>
    </row>
    <row r="2015" spans="1:1" x14ac:dyDescent="0.25">
      <c r="A2015" t="s">
        <v>1251</v>
      </c>
    </row>
    <row r="2016" spans="1:1" x14ac:dyDescent="0.25">
      <c r="A2016" t="s">
        <v>1252</v>
      </c>
    </row>
    <row r="2017" spans="1:1" x14ac:dyDescent="0.25">
      <c r="A2017" t="s">
        <v>1253</v>
      </c>
    </row>
    <row r="2018" spans="1:1" x14ac:dyDescent="0.25">
      <c r="A2018" t="s">
        <v>1254</v>
      </c>
    </row>
    <row r="2019" spans="1:1" x14ac:dyDescent="0.25">
      <c r="A2019" t="s">
        <v>1255</v>
      </c>
    </row>
    <row r="2020" spans="1:1" x14ac:dyDescent="0.25">
      <c r="A2020" t="s">
        <v>1256</v>
      </c>
    </row>
    <row r="2021" spans="1:1" x14ac:dyDescent="0.25">
      <c r="A2021" t="s">
        <v>1257</v>
      </c>
    </row>
    <row r="2022" spans="1:1" x14ac:dyDescent="0.25">
      <c r="A2022" t="s">
        <v>1258</v>
      </c>
    </row>
    <row r="2023" spans="1:1" x14ac:dyDescent="0.25">
      <c r="A2023" t="s">
        <v>1259</v>
      </c>
    </row>
    <row r="2024" spans="1:1" x14ac:dyDescent="0.25">
      <c r="A2024" t="s">
        <v>1210</v>
      </c>
    </row>
    <row r="2025" spans="1:1" x14ac:dyDescent="0.25">
      <c r="A2025" t="s">
        <v>1260</v>
      </c>
    </row>
    <row r="2026" spans="1:1" x14ac:dyDescent="0.25">
      <c r="A2026" t="s">
        <v>1213</v>
      </c>
    </row>
    <row r="2027" spans="1:1" x14ac:dyDescent="0.25">
      <c r="A2027" t="s">
        <v>1214</v>
      </c>
    </row>
    <row r="2028" spans="1:1" x14ac:dyDescent="0.25">
      <c r="A2028" t="s">
        <v>1261</v>
      </c>
    </row>
    <row r="2029" spans="1:1" x14ac:dyDescent="0.25">
      <c r="A2029" t="s">
        <v>1262</v>
      </c>
    </row>
    <row r="2030" spans="1:1" x14ac:dyDescent="0.25">
      <c r="A2030" t="s">
        <v>21</v>
      </c>
    </row>
    <row r="2032" spans="1:1" x14ac:dyDescent="0.25">
      <c r="A2032" t="s">
        <v>1263</v>
      </c>
    </row>
    <row r="2033" spans="1:1" x14ac:dyDescent="0.25">
      <c r="A2033" t="s">
        <v>1264</v>
      </c>
    </row>
    <row r="2034" spans="1:1" x14ac:dyDescent="0.25">
      <c r="A2034" t="s">
        <v>1265</v>
      </c>
    </row>
    <row r="2035" spans="1:1" x14ac:dyDescent="0.25">
      <c r="A2035" t="s">
        <v>1266</v>
      </c>
    </row>
    <row r="2036" spans="1:1" x14ac:dyDescent="0.25">
      <c r="A2036" t="s">
        <v>1267</v>
      </c>
    </row>
    <row r="2037" spans="1:1" x14ac:dyDescent="0.25">
      <c r="A2037" t="s">
        <v>1268</v>
      </c>
    </row>
    <row r="2038" spans="1:1" x14ac:dyDescent="0.25">
      <c r="A2038" t="s">
        <v>1269</v>
      </c>
    </row>
    <row r="2039" spans="1:1" x14ac:dyDescent="0.25">
      <c r="A2039" t="s">
        <v>1270</v>
      </c>
    </row>
    <row r="2040" spans="1:1" x14ac:dyDescent="0.25">
      <c r="A2040" t="s">
        <v>1271</v>
      </c>
    </row>
    <row r="2041" spans="1:1" x14ac:dyDescent="0.25">
      <c r="A2041" t="s">
        <v>1272</v>
      </c>
    </row>
    <row r="2042" spans="1:1" x14ac:dyDescent="0.25">
      <c r="A2042" t="s">
        <v>1273</v>
      </c>
    </row>
    <row r="2043" spans="1:1" x14ac:dyDescent="0.25">
      <c r="A2043" t="s">
        <v>1274</v>
      </c>
    </row>
    <row r="2044" spans="1:1" x14ac:dyDescent="0.25">
      <c r="A2044" t="s">
        <v>1275</v>
      </c>
    </row>
    <row r="2045" spans="1:1" x14ac:dyDescent="0.25">
      <c r="A2045" t="s">
        <v>1276</v>
      </c>
    </row>
    <row r="2046" spans="1:1" x14ac:dyDescent="0.25">
      <c r="A2046" t="s">
        <v>1277</v>
      </c>
    </row>
    <row r="2047" spans="1:1" x14ac:dyDescent="0.25">
      <c r="A2047" t="s">
        <v>1278</v>
      </c>
    </row>
    <row r="2048" spans="1:1" x14ac:dyDescent="0.25">
      <c r="A2048" t="s">
        <v>1279</v>
      </c>
    </row>
    <row r="2049" spans="1:1" x14ac:dyDescent="0.25">
      <c r="A2049" t="s">
        <v>1280</v>
      </c>
    </row>
    <row r="2050" spans="1:1" x14ac:dyDescent="0.25">
      <c r="A2050" t="s">
        <v>1281</v>
      </c>
    </row>
    <row r="2051" spans="1:1" x14ac:dyDescent="0.25">
      <c r="A2051" t="s">
        <v>1282</v>
      </c>
    </row>
    <row r="2052" spans="1:1" x14ac:dyDescent="0.25">
      <c r="A2052" t="s">
        <v>1283</v>
      </c>
    </row>
    <row r="2053" spans="1:1" x14ac:dyDescent="0.25">
      <c r="A2053" t="s">
        <v>21</v>
      </c>
    </row>
    <row r="2055" spans="1:1" x14ac:dyDescent="0.25">
      <c r="A2055" t="s">
        <v>1284</v>
      </c>
    </row>
    <row r="2056" spans="1:1" x14ac:dyDescent="0.25">
      <c r="A2056" t="s">
        <v>1285</v>
      </c>
    </row>
    <row r="2057" spans="1:1" x14ac:dyDescent="0.25">
      <c r="A2057" t="s">
        <v>1286</v>
      </c>
    </row>
    <row r="2058" spans="1:1" x14ac:dyDescent="0.25">
      <c r="A2058" t="s">
        <v>1287</v>
      </c>
    </row>
    <row r="2059" spans="1:1" x14ac:dyDescent="0.25">
      <c r="A2059" t="s">
        <v>1288</v>
      </c>
    </row>
    <row r="2060" spans="1:1" x14ac:dyDescent="0.25">
      <c r="A2060" t="s">
        <v>21</v>
      </c>
    </row>
    <row r="2062" spans="1:1" x14ac:dyDescent="0.25">
      <c r="A2062" t="s">
        <v>1289</v>
      </c>
    </row>
    <row r="2063" spans="1:1" x14ac:dyDescent="0.25">
      <c r="A2063" t="s">
        <v>1290</v>
      </c>
    </row>
    <row r="2064" spans="1:1" x14ac:dyDescent="0.25">
      <c r="A2064" t="s">
        <v>1291</v>
      </c>
    </row>
    <row r="2065" spans="1:1" x14ac:dyDescent="0.25">
      <c r="A2065" t="s">
        <v>1292</v>
      </c>
    </row>
    <row r="2066" spans="1:1" x14ac:dyDescent="0.25">
      <c r="A2066" t="s">
        <v>1293</v>
      </c>
    </row>
    <row r="2067" spans="1:1" x14ac:dyDescent="0.25">
      <c r="A2067" t="s">
        <v>21</v>
      </c>
    </row>
    <row r="2069" spans="1:1" x14ac:dyDescent="0.25">
      <c r="A2069" t="s">
        <v>1294</v>
      </c>
    </row>
    <row r="2070" spans="1:1" x14ac:dyDescent="0.25">
      <c r="A2070" t="s">
        <v>1285</v>
      </c>
    </row>
    <row r="2071" spans="1:1" x14ac:dyDescent="0.25">
      <c r="A2071" t="s">
        <v>1286</v>
      </c>
    </row>
    <row r="2072" spans="1:1" x14ac:dyDescent="0.25">
      <c r="A2072" t="s">
        <v>1295</v>
      </c>
    </row>
    <row r="2073" spans="1:1" x14ac:dyDescent="0.25">
      <c r="A2073" t="s">
        <v>1296</v>
      </c>
    </row>
    <row r="2074" spans="1:1" x14ac:dyDescent="0.25">
      <c r="A2074" t="s">
        <v>21</v>
      </c>
    </row>
    <row r="2076" spans="1:1" x14ac:dyDescent="0.25">
      <c r="A2076" t="s">
        <v>1297</v>
      </c>
    </row>
    <row r="2077" spans="1:1" x14ac:dyDescent="0.25">
      <c r="A2077" t="s">
        <v>494</v>
      </c>
    </row>
    <row r="2078" spans="1:1" x14ac:dyDescent="0.25">
      <c r="A2078" t="s">
        <v>495</v>
      </c>
    </row>
    <row r="2079" spans="1:1" x14ac:dyDescent="0.25">
      <c r="A2079" t="s">
        <v>1298</v>
      </c>
    </row>
    <row r="2080" spans="1:1" x14ac:dyDescent="0.25">
      <c r="A2080" t="s">
        <v>1299</v>
      </c>
    </row>
    <row r="2081" spans="1:1" x14ac:dyDescent="0.25">
      <c r="A2081" t="s">
        <v>1300</v>
      </c>
    </row>
    <row r="2082" spans="1:1" x14ac:dyDescent="0.25">
      <c r="A2082" t="s">
        <v>1301</v>
      </c>
    </row>
    <row r="2083" spans="1:1" x14ac:dyDescent="0.25">
      <c r="A2083" t="s">
        <v>1302</v>
      </c>
    </row>
    <row r="2084" spans="1:1" x14ac:dyDescent="0.25">
      <c r="A2084" t="s">
        <v>1303</v>
      </c>
    </row>
    <row r="2085" spans="1:1" x14ac:dyDescent="0.25">
      <c r="A2085" t="s">
        <v>1304</v>
      </c>
    </row>
    <row r="2086" spans="1:1" x14ac:dyDescent="0.25">
      <c r="A2086" t="s">
        <v>278</v>
      </c>
    </row>
    <row r="2087" spans="1:1" x14ac:dyDescent="0.25">
      <c r="A2087" t="s">
        <v>21</v>
      </c>
    </row>
    <row r="2089" spans="1:1" x14ac:dyDescent="0.25">
      <c r="A2089" t="s">
        <v>1305</v>
      </c>
    </row>
    <row r="2090" spans="1:1" x14ac:dyDescent="0.25">
      <c r="A2090" t="s">
        <v>494</v>
      </c>
    </row>
    <row r="2091" spans="1:1" x14ac:dyDescent="0.25">
      <c r="A2091" t="s">
        <v>495</v>
      </c>
    </row>
    <row r="2092" spans="1:1" x14ac:dyDescent="0.25">
      <c r="A2092" t="s">
        <v>1298</v>
      </c>
    </row>
    <row r="2093" spans="1:1" x14ac:dyDescent="0.25">
      <c r="A2093" t="s">
        <v>1306</v>
      </c>
    </row>
    <row r="2094" spans="1:1" x14ac:dyDescent="0.25">
      <c r="A2094" t="s">
        <v>1307</v>
      </c>
    </row>
    <row r="2095" spans="1:1" x14ac:dyDescent="0.25">
      <c r="A2095" t="s">
        <v>1308</v>
      </c>
    </row>
    <row r="2096" spans="1:1" x14ac:dyDescent="0.25">
      <c r="A2096" t="s">
        <v>1309</v>
      </c>
    </row>
    <row r="2097" spans="1:1" x14ac:dyDescent="0.25">
      <c r="A2097" t="s">
        <v>1310</v>
      </c>
    </row>
    <row r="2098" spans="1:1" x14ac:dyDescent="0.25">
      <c r="A2098" t="s">
        <v>1311</v>
      </c>
    </row>
    <row r="2099" spans="1:1" x14ac:dyDescent="0.25">
      <c r="A2099" t="s">
        <v>278</v>
      </c>
    </row>
    <row r="2100" spans="1:1" x14ac:dyDescent="0.25">
      <c r="A2100" t="s">
        <v>21</v>
      </c>
    </row>
    <row r="2102" spans="1:1" x14ac:dyDescent="0.25">
      <c r="A2102" t="s">
        <v>1312</v>
      </c>
    </row>
    <row r="2103" spans="1:1" x14ac:dyDescent="0.25">
      <c r="A2103" t="s">
        <v>156</v>
      </c>
    </row>
    <row r="2104" spans="1:1" x14ac:dyDescent="0.25">
      <c r="A2104" t="s">
        <v>1313</v>
      </c>
    </row>
    <row r="2105" spans="1:1" x14ac:dyDescent="0.25">
      <c r="A2105" t="s">
        <v>1314</v>
      </c>
    </row>
    <row r="2106" spans="1:1" x14ac:dyDescent="0.25">
      <c r="A2106" t="s">
        <v>160</v>
      </c>
    </row>
    <row r="2107" spans="1:1" x14ac:dyDescent="0.25">
      <c r="A2107" t="s">
        <v>1315</v>
      </c>
    </row>
    <row r="2108" spans="1:1" x14ac:dyDescent="0.25">
      <c r="A2108" t="s">
        <v>168</v>
      </c>
    </row>
    <row r="2109" spans="1:1" x14ac:dyDescent="0.25">
      <c r="A2109" t="s">
        <v>21</v>
      </c>
    </row>
    <row r="2111" spans="1:1" x14ac:dyDescent="0.25">
      <c r="A2111" t="s">
        <v>1316</v>
      </c>
    </row>
    <row r="2112" spans="1:1" x14ac:dyDescent="0.25">
      <c r="A2112" t="s">
        <v>1317</v>
      </c>
    </row>
    <row r="2113" spans="1:1" x14ac:dyDescent="0.25">
      <c r="A2113" t="s">
        <v>1318</v>
      </c>
    </row>
    <row r="2114" spans="1:1" x14ac:dyDescent="0.25">
      <c r="A2114" t="s">
        <v>263</v>
      </c>
    </row>
    <row r="2115" spans="1:1" x14ac:dyDescent="0.25">
      <c r="A2115" t="s">
        <v>1319</v>
      </c>
    </row>
    <row r="2116" spans="1:1" x14ac:dyDescent="0.25">
      <c r="A2116" t="s">
        <v>1320</v>
      </c>
    </row>
    <row r="2117" spans="1:1" x14ac:dyDescent="0.25">
      <c r="A2117" t="s">
        <v>1321</v>
      </c>
    </row>
    <row r="2118" spans="1:1" x14ac:dyDescent="0.25">
      <c r="A2118" t="s">
        <v>21</v>
      </c>
    </row>
    <row r="2120" spans="1:1" x14ac:dyDescent="0.25">
      <c r="A2120" t="s">
        <v>1322</v>
      </c>
    </row>
    <row r="2121" spans="1:1" x14ac:dyDescent="0.25">
      <c r="A2121" t="s">
        <v>1323</v>
      </c>
    </row>
    <row r="2122" spans="1:1" x14ac:dyDescent="0.25">
      <c r="A2122" t="s">
        <v>1324</v>
      </c>
    </row>
    <row r="2123" spans="1:1" x14ac:dyDescent="0.25">
      <c r="A2123" t="s">
        <v>1325</v>
      </c>
    </row>
    <row r="2124" spans="1:1" x14ac:dyDescent="0.25">
      <c r="A2124" t="s">
        <v>1326</v>
      </c>
    </row>
    <row r="2125" spans="1:1" x14ac:dyDescent="0.25">
      <c r="A2125" t="s">
        <v>21</v>
      </c>
    </row>
    <row r="2126" spans="1:1" x14ac:dyDescent="0.25">
      <c r="A2126" t="s">
        <v>1327</v>
      </c>
    </row>
    <row r="2127" spans="1:1" x14ac:dyDescent="0.25">
      <c r="A2127" t="s">
        <v>1328</v>
      </c>
    </row>
    <row r="2128" spans="1:1" x14ac:dyDescent="0.25">
      <c r="A2128" t="s">
        <v>1329</v>
      </c>
    </row>
    <row r="2129" spans="1:1" x14ac:dyDescent="0.25">
      <c r="A2129" t="s">
        <v>1330</v>
      </c>
    </row>
    <row r="2130" spans="1:1" x14ac:dyDescent="0.25">
      <c r="A2130" t="s">
        <v>21</v>
      </c>
    </row>
    <row r="2132" spans="1:1" x14ac:dyDescent="0.25">
      <c r="A2132" t="s">
        <v>1331</v>
      </c>
    </row>
    <row r="2133" spans="1:1" x14ac:dyDescent="0.25">
      <c r="A2133" t="s">
        <v>263</v>
      </c>
    </row>
    <row r="2134" spans="1:1" x14ac:dyDescent="0.25">
      <c r="A2134" t="s">
        <v>1332</v>
      </c>
    </row>
    <row r="2135" spans="1:1" x14ac:dyDescent="0.25">
      <c r="A2135" t="s">
        <v>1333</v>
      </c>
    </row>
    <row r="2136" spans="1:1" x14ac:dyDescent="0.25">
      <c r="A2136" t="s">
        <v>1334</v>
      </c>
    </row>
    <row r="2137" spans="1:1" x14ac:dyDescent="0.25">
      <c r="A2137" t="s">
        <v>21</v>
      </c>
    </row>
    <row r="2139" spans="1:1" x14ac:dyDescent="0.25">
      <c r="A2139" t="s">
        <v>1335</v>
      </c>
    </row>
    <row r="2140" spans="1:1" x14ac:dyDescent="0.25">
      <c r="A2140" t="s">
        <v>1336</v>
      </c>
    </row>
    <row r="2141" spans="1:1" x14ac:dyDescent="0.25">
      <c r="A2141" t="s">
        <v>1337</v>
      </c>
    </row>
    <row r="2142" spans="1:1" x14ac:dyDescent="0.25">
      <c r="A2142" t="s">
        <v>1338</v>
      </c>
    </row>
    <row r="2144" spans="1:1" x14ac:dyDescent="0.25">
      <c r="A2144" t="s">
        <v>1339</v>
      </c>
    </row>
    <row r="2145" spans="1:1" x14ac:dyDescent="0.25">
      <c r="A2145" t="s">
        <v>1340</v>
      </c>
    </row>
    <row r="2146" spans="1:1" x14ac:dyDescent="0.25">
      <c r="A2146" t="s">
        <v>1341</v>
      </c>
    </row>
    <row r="2147" spans="1:1" x14ac:dyDescent="0.25">
      <c r="A2147" t="s">
        <v>1342</v>
      </c>
    </row>
    <row r="2149" spans="1:1" x14ac:dyDescent="0.25">
      <c r="A2149" t="s">
        <v>1343</v>
      </c>
    </row>
    <row r="2150" spans="1:1" x14ac:dyDescent="0.25">
      <c r="A2150" t="s">
        <v>146</v>
      </c>
    </row>
    <row r="2152" spans="1:1" x14ac:dyDescent="0.25">
      <c r="A2152" t="s">
        <v>1344</v>
      </c>
    </row>
    <row r="2153" spans="1:1" x14ac:dyDescent="0.25">
      <c r="A2153" t="s">
        <v>263</v>
      </c>
    </row>
    <row r="2154" spans="1:1" x14ac:dyDescent="0.25">
      <c r="A2154" t="s">
        <v>1345</v>
      </c>
    </row>
    <row r="2155" spans="1:1" x14ac:dyDescent="0.25">
      <c r="A2155" t="s">
        <v>1346</v>
      </c>
    </row>
    <row r="2156" spans="1:1" x14ac:dyDescent="0.25">
      <c r="A2156" t="s">
        <v>1347</v>
      </c>
    </row>
    <row r="2157" spans="1:1" x14ac:dyDescent="0.25">
      <c r="A2157" t="s">
        <v>1348</v>
      </c>
    </row>
    <row r="2158" spans="1:1" x14ac:dyDescent="0.25">
      <c r="A2158" t="s">
        <v>1349</v>
      </c>
    </row>
    <row r="2159" spans="1:1" x14ac:dyDescent="0.25">
      <c r="A2159" t="s">
        <v>1350</v>
      </c>
    </row>
    <row r="2160" spans="1:1" x14ac:dyDescent="0.25">
      <c r="A2160" t="s">
        <v>1351</v>
      </c>
    </row>
    <row r="2161" spans="1:1" x14ac:dyDescent="0.25">
      <c r="A2161" t="s">
        <v>146</v>
      </c>
    </row>
    <row r="2163" spans="1:1" x14ac:dyDescent="0.25">
      <c r="A2163" t="s">
        <v>1352</v>
      </c>
    </row>
    <row r="2164" spans="1:1" x14ac:dyDescent="0.25">
      <c r="A2164" t="s">
        <v>1353</v>
      </c>
    </row>
    <row r="2167" spans="1:1" x14ac:dyDescent="0.25">
      <c r="A2167" t="s">
        <v>1354</v>
      </c>
    </row>
    <row r="2168" spans="1:1" x14ac:dyDescent="0.25">
      <c r="A2168" t="s">
        <v>1355</v>
      </c>
    </row>
    <row r="2169" spans="1:1" x14ac:dyDescent="0.25">
      <c r="A2169" t="s">
        <v>1356</v>
      </c>
    </row>
    <row r="2170" spans="1:1" x14ac:dyDescent="0.25">
      <c r="A2170" t="s">
        <v>1357</v>
      </c>
    </row>
    <row r="2171" spans="1:1" x14ac:dyDescent="0.25">
      <c r="A2171" t="s">
        <v>1358</v>
      </c>
    </row>
    <row r="2172" spans="1:1" x14ac:dyDescent="0.25">
      <c r="A2172" t="s">
        <v>1359</v>
      </c>
    </row>
    <row r="2173" spans="1:1" x14ac:dyDescent="0.25">
      <c r="A2173" t="s">
        <v>1360</v>
      </c>
    </row>
    <row r="2174" spans="1:1" x14ac:dyDescent="0.25">
      <c r="A2174" t="s">
        <v>1361</v>
      </c>
    </row>
    <row r="2175" spans="1:1" x14ac:dyDescent="0.25">
      <c r="A2175" t="s">
        <v>1362</v>
      </c>
    </row>
    <row r="2176" spans="1:1" x14ac:dyDescent="0.25">
      <c r="A2176" t="s">
        <v>21</v>
      </c>
    </row>
    <row r="2177" spans="1:1" x14ac:dyDescent="0.25">
      <c r="A2177" t="s">
        <v>605</v>
      </c>
    </row>
    <row r="2178" spans="1:1" x14ac:dyDescent="0.25">
      <c r="A2178" t="s">
        <v>1363</v>
      </c>
    </row>
    <row r="2179" spans="1:1" x14ac:dyDescent="0.25">
      <c r="A2179" t="s">
        <v>1364</v>
      </c>
    </row>
    <row r="2180" spans="1:1" x14ac:dyDescent="0.25">
      <c r="A2180" t="s">
        <v>1365</v>
      </c>
    </row>
    <row r="2181" spans="1:1" x14ac:dyDescent="0.25">
      <c r="A2181" t="s">
        <v>1366</v>
      </c>
    </row>
    <row r="2182" spans="1:1" x14ac:dyDescent="0.25">
      <c r="A2182" t="s">
        <v>1367</v>
      </c>
    </row>
    <row r="2183" spans="1:1" x14ac:dyDescent="0.25">
      <c r="A2183" t="s">
        <v>1368</v>
      </c>
    </row>
    <row r="2184" spans="1:1" x14ac:dyDescent="0.25">
      <c r="A2184" t="s">
        <v>1369</v>
      </c>
    </row>
    <row r="2185" spans="1:1" x14ac:dyDescent="0.25">
      <c r="A2185" t="s">
        <v>1370</v>
      </c>
    </row>
    <row r="2186" spans="1:1" x14ac:dyDescent="0.25">
      <c r="A2186" t="s">
        <v>21</v>
      </c>
    </row>
    <row r="2187" spans="1:1" x14ac:dyDescent="0.25">
      <c r="A2187" t="s">
        <v>1371</v>
      </c>
    </row>
    <row r="2188" spans="1:1" x14ac:dyDescent="0.25">
      <c r="A2188" t="s">
        <v>1372</v>
      </c>
    </row>
    <row r="2189" spans="1:1" x14ac:dyDescent="0.25">
      <c r="A2189" t="s">
        <v>1373</v>
      </c>
    </row>
    <row r="2190" spans="1:1" x14ac:dyDescent="0.25">
      <c r="A2190" t="s">
        <v>1374</v>
      </c>
    </row>
    <row r="2191" spans="1:1" x14ac:dyDescent="0.25">
      <c r="A2191" t="s">
        <v>1375</v>
      </c>
    </row>
    <row r="2192" spans="1:1" x14ac:dyDescent="0.25">
      <c r="A2192" t="s">
        <v>1376</v>
      </c>
    </row>
    <row r="2193" spans="1:1" x14ac:dyDescent="0.25">
      <c r="A2193" t="s">
        <v>1377</v>
      </c>
    </row>
    <row r="2194" spans="1:1" x14ac:dyDescent="0.25">
      <c r="A2194" t="s">
        <v>1378</v>
      </c>
    </row>
    <row r="2195" spans="1:1" x14ac:dyDescent="0.25">
      <c r="A2195" t="s">
        <v>1379</v>
      </c>
    </row>
    <row r="2196" spans="1:1" x14ac:dyDescent="0.25">
      <c r="A2196" t="s">
        <v>1380</v>
      </c>
    </row>
    <row r="2197" spans="1:1" x14ac:dyDescent="0.25">
      <c r="A2197" t="s">
        <v>21</v>
      </c>
    </row>
    <row r="2199" spans="1:1" x14ac:dyDescent="0.25">
      <c r="A2199" t="s">
        <v>1381</v>
      </c>
    </row>
    <row r="2200" spans="1:1" x14ac:dyDescent="0.25">
      <c r="A2200" t="s">
        <v>1382</v>
      </c>
    </row>
    <row r="2201" spans="1:1" x14ac:dyDescent="0.25">
      <c r="A2201" t="s">
        <v>1139</v>
      </c>
    </row>
    <row r="2202" spans="1:1" x14ac:dyDescent="0.25">
      <c r="A2202" t="s">
        <v>1140</v>
      </c>
    </row>
    <row r="2203" spans="1:1" x14ac:dyDescent="0.25">
      <c r="A2203" t="s">
        <v>1141</v>
      </c>
    </row>
    <row r="2204" spans="1:1" x14ac:dyDescent="0.25">
      <c r="A2204" t="s">
        <v>21</v>
      </c>
    </row>
    <row r="2206" spans="1:1" x14ac:dyDescent="0.25">
      <c r="A2206" t="s">
        <v>1383</v>
      </c>
    </row>
    <row r="2207" spans="1:1" x14ac:dyDescent="0.25">
      <c r="A2207" t="s">
        <v>1384</v>
      </c>
    </row>
    <row r="2208" spans="1:1" x14ac:dyDescent="0.25">
      <c r="A2208" t="s">
        <v>1385</v>
      </c>
    </row>
    <row r="2209" spans="1:1" x14ac:dyDescent="0.25">
      <c r="A2209" t="s">
        <v>1386</v>
      </c>
    </row>
    <row r="2210" spans="1:1" x14ac:dyDescent="0.25">
      <c r="A2210" t="s">
        <v>1387</v>
      </c>
    </row>
    <row r="2211" spans="1:1" x14ac:dyDescent="0.25">
      <c r="A2211" t="s">
        <v>1388</v>
      </c>
    </row>
    <row r="2212" spans="1:1" x14ac:dyDescent="0.25">
      <c r="A2212" t="s">
        <v>1389</v>
      </c>
    </row>
    <row r="2213" spans="1:1" x14ac:dyDescent="0.25">
      <c r="A2213" t="s">
        <v>1390</v>
      </c>
    </row>
    <row r="2214" spans="1:1" x14ac:dyDescent="0.25">
      <c r="A2214" t="s">
        <v>1391</v>
      </c>
    </row>
    <row r="2216" spans="1:1" x14ac:dyDescent="0.25">
      <c r="A2216" t="s">
        <v>1392</v>
      </c>
    </row>
    <row r="2217" spans="1:1" x14ac:dyDescent="0.25">
      <c r="A2217" t="s">
        <v>1393</v>
      </c>
    </row>
    <row r="2218" spans="1:1" x14ac:dyDescent="0.25">
      <c r="A2218" t="s">
        <v>1394</v>
      </c>
    </row>
    <row r="2219" spans="1:1" x14ac:dyDescent="0.25">
      <c r="A2219" t="s">
        <v>1395</v>
      </c>
    </row>
    <row r="2220" spans="1:1" x14ac:dyDescent="0.25">
      <c r="A2220" t="s">
        <v>1396</v>
      </c>
    </row>
    <row r="2221" spans="1:1" x14ac:dyDescent="0.25">
      <c r="A2221" t="s">
        <v>1397</v>
      </c>
    </row>
    <row r="2222" spans="1:1" x14ac:dyDescent="0.25">
      <c r="A2222" t="s">
        <v>1398</v>
      </c>
    </row>
    <row r="2223" spans="1:1" x14ac:dyDescent="0.25">
      <c r="A2223" t="s">
        <v>1399</v>
      </c>
    </row>
    <row r="2224" spans="1:1" x14ac:dyDescent="0.25">
      <c r="A2224" t="s">
        <v>1400</v>
      </c>
    </row>
    <row r="2225" spans="1:1" x14ac:dyDescent="0.25">
      <c r="A2225" t="s">
        <v>1401</v>
      </c>
    </row>
    <row r="2226" spans="1:1" x14ac:dyDescent="0.25">
      <c r="A2226" t="s">
        <v>1402</v>
      </c>
    </row>
    <row r="2228" spans="1:1" x14ac:dyDescent="0.25">
      <c r="A2228">
        <f>COUNTIF(J12:J23,"?x?")</f>
        <v>0</v>
      </c>
    </row>
    <row r="2229" spans="1:1" x14ac:dyDescent="0.25">
      <c r="A2229">
        <f>COUNTIF(J13:J23,"*x*")</f>
        <v>0</v>
      </c>
    </row>
    <row r="2230" spans="1:1" x14ac:dyDescent="0.25">
      <c r="A2230">
        <f>COUNTIF(J13:J23,"x*")</f>
        <v>0</v>
      </c>
    </row>
    <row r="2231" spans="1:1" x14ac:dyDescent="0.25">
      <c r="A2231">
        <f>COUNTIF(J13:J23,"*x*")</f>
        <v>0</v>
      </c>
    </row>
    <row r="2232" spans="1:1" x14ac:dyDescent="0.25">
      <c r="A2232">
        <f>COUNTIF(J12:J23,"?x?")</f>
        <v>0</v>
      </c>
    </row>
    <row r="2233" spans="1:1" x14ac:dyDescent="0.25">
      <c r="A2233">
        <f>COUNTIF(J13:J19,"?x")</f>
        <v>0</v>
      </c>
    </row>
    <row r="2235" spans="1:1" x14ac:dyDescent="0.25">
      <c r="A2235" t="s">
        <v>1403</v>
      </c>
    </row>
    <row r="2236" spans="1:1" x14ac:dyDescent="0.25">
      <c r="A2236" t="s">
        <v>1404</v>
      </c>
    </row>
    <row r="2237" spans="1:1" x14ac:dyDescent="0.25">
      <c r="A2237" t="s">
        <v>1405</v>
      </c>
    </row>
    <row r="2238" spans="1:1" x14ac:dyDescent="0.25">
      <c r="A2238" t="s">
        <v>1406</v>
      </c>
    </row>
    <row r="2239" spans="1:1" x14ac:dyDescent="0.25">
      <c r="A2239" t="s">
        <v>1407</v>
      </c>
    </row>
    <row r="2240" spans="1:1" x14ac:dyDescent="0.25">
      <c r="A2240" t="s">
        <v>1408</v>
      </c>
    </row>
    <row r="2241" spans="1:1" x14ac:dyDescent="0.25">
      <c r="A2241" t="s">
        <v>1409</v>
      </c>
    </row>
    <row r="2242" spans="1:1" x14ac:dyDescent="0.25">
      <c r="A2242" t="s">
        <v>1410</v>
      </c>
    </row>
    <row r="2243" spans="1:1" x14ac:dyDescent="0.25">
      <c r="A2243" t="s">
        <v>1411</v>
      </c>
    </row>
    <row r="2244" spans="1:1" x14ac:dyDescent="0.25">
      <c r="A2244" t="s">
        <v>1412</v>
      </c>
    </row>
    <row r="2245" spans="1:1" x14ac:dyDescent="0.25">
      <c r="A2245" t="s">
        <v>1413</v>
      </c>
    </row>
    <row r="2246" spans="1:1" x14ac:dyDescent="0.25">
      <c r="A2246" t="s">
        <v>1414</v>
      </c>
    </row>
    <row r="2247" spans="1:1" x14ac:dyDescent="0.25">
      <c r="A2247" t="s">
        <v>1415</v>
      </c>
    </row>
    <row r="2248" spans="1:1" x14ac:dyDescent="0.25">
      <c r="A2248" t="s">
        <v>1416</v>
      </c>
    </row>
    <row r="2249" spans="1:1" x14ac:dyDescent="0.25">
      <c r="A2249" t="s">
        <v>1417</v>
      </c>
    </row>
    <row r="2250" spans="1:1" x14ac:dyDescent="0.25">
      <c r="A2250" t="s">
        <v>1418</v>
      </c>
    </row>
    <row r="2251" spans="1:1" x14ac:dyDescent="0.25">
      <c r="A2251" t="s">
        <v>1414</v>
      </c>
    </row>
    <row r="2252" spans="1:1" x14ac:dyDescent="0.25">
      <c r="A2252" t="s">
        <v>1419</v>
      </c>
    </row>
    <row r="2253" spans="1:1" x14ac:dyDescent="0.25">
      <c r="A2253" t="s">
        <v>1420</v>
      </c>
    </row>
    <row r="2254" spans="1:1" x14ac:dyDescent="0.25">
      <c r="A2254" t="s">
        <v>1421</v>
      </c>
    </row>
    <row r="2255" spans="1:1" x14ac:dyDescent="0.25">
      <c r="A2255" t="s">
        <v>1422</v>
      </c>
    </row>
    <row r="2256" spans="1:1" x14ac:dyDescent="0.25">
      <c r="A2256" t="s">
        <v>1423</v>
      </c>
    </row>
    <row r="2257" spans="1:1" x14ac:dyDescent="0.25">
      <c r="A2257" t="s">
        <v>1424</v>
      </c>
    </row>
    <row r="2258" spans="1:1" x14ac:dyDescent="0.25">
      <c r="A2258" t="s">
        <v>21</v>
      </c>
    </row>
    <row r="2261" spans="1:1" x14ac:dyDescent="0.25">
      <c r="A2261" t="s">
        <v>1425</v>
      </c>
    </row>
    <row r="2263" spans="1:1" x14ac:dyDescent="0.25">
      <c r="A2263" t="s">
        <v>1426</v>
      </c>
    </row>
    <row r="2264" spans="1:1" x14ac:dyDescent="0.25">
      <c r="A2264" t="s">
        <v>1427</v>
      </c>
    </row>
    <row r="2265" spans="1:1" x14ac:dyDescent="0.25">
      <c r="A2265" t="s">
        <v>1428</v>
      </c>
    </row>
    <row r="2266" spans="1:1" x14ac:dyDescent="0.25">
      <c r="A2266" t="s">
        <v>1429</v>
      </c>
    </row>
    <row r="2267" spans="1:1" x14ac:dyDescent="0.25">
      <c r="A2267" t="s">
        <v>1430</v>
      </c>
    </row>
    <row r="2268" spans="1:1" x14ac:dyDescent="0.25">
      <c r="A2268" t="s">
        <v>1431</v>
      </c>
    </row>
    <row r="2269" spans="1:1" x14ac:dyDescent="0.25">
      <c r="A2269" t="s">
        <v>1432</v>
      </c>
    </row>
    <row r="2270" spans="1:1" x14ac:dyDescent="0.25">
      <c r="A2270" t="s">
        <v>1433</v>
      </c>
    </row>
    <row r="2271" spans="1:1" x14ac:dyDescent="0.25">
      <c r="A2271" t="s">
        <v>21</v>
      </c>
    </row>
    <row r="2277" spans="1:1" x14ac:dyDescent="0.25">
      <c r="A2277" t="s">
        <v>1128</v>
      </c>
    </row>
    <row r="2278" spans="1:1" x14ac:dyDescent="0.25">
      <c r="A2278" t="s">
        <v>1434</v>
      </c>
    </row>
    <row r="2279" spans="1:1" x14ac:dyDescent="0.25">
      <c r="A2279" t="s">
        <v>1435</v>
      </c>
    </row>
    <row r="2280" spans="1:1" x14ac:dyDescent="0.25">
      <c r="A2280" t="s">
        <v>1436</v>
      </c>
    </row>
    <row r="2281" spans="1:1" x14ac:dyDescent="0.25">
      <c r="A2281" t="s">
        <v>1437</v>
      </c>
    </row>
    <row r="2282" spans="1:1" x14ac:dyDescent="0.25">
      <c r="A2282" t="s">
        <v>1438</v>
      </c>
    </row>
    <row r="2283" spans="1:1" x14ac:dyDescent="0.25">
      <c r="A2283" t="s">
        <v>1439</v>
      </c>
    </row>
    <row r="2284" spans="1:1" x14ac:dyDescent="0.25">
      <c r="A2284" t="s">
        <v>1440</v>
      </c>
    </row>
    <row r="2285" spans="1:1" x14ac:dyDescent="0.25">
      <c r="A2285" t="s">
        <v>21</v>
      </c>
    </row>
    <row r="2288" spans="1:1" x14ac:dyDescent="0.25">
      <c r="A2288" t="s">
        <v>1441</v>
      </c>
    </row>
    <row r="2289" spans="1:1" x14ac:dyDescent="0.25">
      <c r="A2289" t="s">
        <v>1442</v>
      </c>
    </row>
    <row r="2290" spans="1:1" x14ac:dyDescent="0.25">
      <c r="A2290" t="s">
        <v>1443</v>
      </c>
    </row>
    <row r="2291" spans="1:1" x14ac:dyDescent="0.25">
      <c r="A2291" t="s">
        <v>1444</v>
      </c>
    </row>
    <row r="2292" spans="1:1" x14ac:dyDescent="0.25">
      <c r="A2292" t="s">
        <v>1445</v>
      </c>
    </row>
    <row r="2296" spans="1:1" x14ac:dyDescent="0.25">
      <c r="A2296" t="s">
        <v>1446</v>
      </c>
    </row>
    <row r="2297" spans="1:1" x14ac:dyDescent="0.25">
      <c r="A2297" t="s">
        <v>1447</v>
      </c>
    </row>
    <row r="2298" spans="1:1" x14ac:dyDescent="0.25">
      <c r="A2298" t="s">
        <v>1448</v>
      </c>
    </row>
    <row r="2299" spans="1:1" x14ac:dyDescent="0.25">
      <c r="A2299" t="s">
        <v>1449</v>
      </c>
    </row>
    <row r="2301" spans="1:1" x14ac:dyDescent="0.25">
      <c r="A2301" t="s">
        <v>1450</v>
      </c>
    </row>
    <row r="2302" spans="1:1" x14ac:dyDescent="0.25">
      <c r="A2302" t="s">
        <v>1451</v>
      </c>
    </row>
    <row r="2303" spans="1:1" x14ac:dyDescent="0.25">
      <c r="A2303" t="s">
        <v>1452</v>
      </c>
    </row>
    <row r="2304" spans="1:1" x14ac:dyDescent="0.25">
      <c r="A2304" t="s">
        <v>1453</v>
      </c>
    </row>
    <row r="2305" spans="1:1" x14ac:dyDescent="0.25">
      <c r="A2305" t="s">
        <v>1454</v>
      </c>
    </row>
    <row r="2306" spans="1:1" x14ac:dyDescent="0.25">
      <c r="A2306" t="s">
        <v>1455</v>
      </c>
    </row>
    <row r="2307" spans="1:1" x14ac:dyDescent="0.25">
      <c r="A2307" t="s">
        <v>1456</v>
      </c>
    </row>
    <row r="2308" spans="1:1" x14ac:dyDescent="0.25">
      <c r="A2308" t="s">
        <v>1457</v>
      </c>
    </row>
    <row r="2309" spans="1:1" x14ac:dyDescent="0.25">
      <c r="A2309" t="s">
        <v>1458</v>
      </c>
    </row>
    <row r="2311" spans="1:1" x14ac:dyDescent="0.25">
      <c r="A2311" t="s">
        <v>1459</v>
      </c>
    </row>
    <row r="2312" spans="1:1" x14ac:dyDescent="0.25">
      <c r="A2312" t="s">
        <v>1460</v>
      </c>
    </row>
    <row r="2313" spans="1:1" x14ac:dyDescent="0.25">
      <c r="A2313" t="s">
        <v>1461</v>
      </c>
    </row>
    <row r="2314" spans="1:1" x14ac:dyDescent="0.25">
      <c r="A2314" t="s">
        <v>1332</v>
      </c>
    </row>
    <row r="2316" spans="1:1" x14ac:dyDescent="0.25">
      <c r="A2316" t="s">
        <v>1462</v>
      </c>
    </row>
    <row r="2317" spans="1:1" x14ac:dyDescent="0.25">
      <c r="A2317" t="s">
        <v>1463</v>
      </c>
    </row>
    <row r="2318" spans="1:1" x14ac:dyDescent="0.25">
      <c r="A2318" t="s">
        <v>1464</v>
      </c>
    </row>
    <row r="2319" spans="1:1" x14ac:dyDescent="0.25">
      <c r="A2319" t="s">
        <v>1465</v>
      </c>
    </row>
    <row r="2320" spans="1:1" x14ac:dyDescent="0.25">
      <c r="A2320" t="s">
        <v>1466</v>
      </c>
    </row>
    <row r="2321" spans="1:1" x14ac:dyDescent="0.25">
      <c r="A2321" t="s">
        <v>1467</v>
      </c>
    </row>
    <row r="2322" spans="1:1" x14ac:dyDescent="0.25">
      <c r="A2322" t="s">
        <v>1468</v>
      </c>
    </row>
    <row r="2324" spans="1:1" x14ac:dyDescent="0.25">
      <c r="A2324" t="s">
        <v>1469</v>
      </c>
    </row>
    <row r="2325" spans="1:1" x14ac:dyDescent="0.25">
      <c r="A2325" t="s">
        <v>1470</v>
      </c>
    </row>
    <row r="2326" spans="1:1" x14ac:dyDescent="0.25">
      <c r="A2326" t="s">
        <v>1471</v>
      </c>
    </row>
    <row r="2327" spans="1:1" x14ac:dyDescent="0.25">
      <c r="A2327" t="s">
        <v>1472</v>
      </c>
    </row>
    <row r="2328" spans="1:1" x14ac:dyDescent="0.25">
      <c r="A2328" t="s">
        <v>37</v>
      </c>
    </row>
    <row r="2329" spans="1:1" x14ac:dyDescent="0.25">
      <c r="A2329" t="s">
        <v>1473</v>
      </c>
    </row>
    <row r="2330" spans="1:1" x14ac:dyDescent="0.25">
      <c r="A2330" t="s">
        <v>1474</v>
      </c>
    </row>
    <row r="2331" spans="1:1" x14ac:dyDescent="0.25">
      <c r="A2331" t="s">
        <v>1475</v>
      </c>
    </row>
    <row r="2332" spans="1:1" x14ac:dyDescent="0.25">
      <c r="A2332" t="s">
        <v>1476</v>
      </c>
    </row>
    <row r="2333" spans="1:1" x14ac:dyDescent="0.25">
      <c r="A2333" t="s">
        <v>1477</v>
      </c>
    </row>
    <row r="2334" spans="1:1" x14ac:dyDescent="0.25">
      <c r="A2334" t="s">
        <v>1478</v>
      </c>
    </row>
    <row r="2335" spans="1:1" x14ac:dyDescent="0.25">
      <c r="A2335" t="s">
        <v>1479</v>
      </c>
    </row>
    <row r="2337" spans="1:1" x14ac:dyDescent="0.25">
      <c r="A2337" t="s">
        <v>1480</v>
      </c>
    </row>
    <row r="2338" spans="1:1" x14ac:dyDescent="0.25">
      <c r="A2338" t="s">
        <v>1481</v>
      </c>
    </row>
    <row r="2339" spans="1:1" x14ac:dyDescent="0.25">
      <c r="A2339" t="s">
        <v>1482</v>
      </c>
    </row>
    <row r="2340" spans="1:1" x14ac:dyDescent="0.25">
      <c r="A2340" t="s">
        <v>1483</v>
      </c>
    </row>
    <row r="2341" spans="1:1" x14ac:dyDescent="0.25">
      <c r="A2341" t="s">
        <v>1484</v>
      </c>
    </row>
    <row r="2342" spans="1:1" x14ac:dyDescent="0.25">
      <c r="A2342" t="s">
        <v>1485</v>
      </c>
    </row>
    <row r="2343" spans="1:1" x14ac:dyDescent="0.25">
      <c r="A2343" t="s">
        <v>146</v>
      </c>
    </row>
    <row r="2344" spans="1:1" x14ac:dyDescent="0.25">
      <c r="A2344" t="s">
        <v>1486</v>
      </c>
    </row>
    <row r="2345" spans="1:1" x14ac:dyDescent="0.25">
      <c r="A2345" t="s">
        <v>1487</v>
      </c>
    </row>
    <row r="2346" spans="1:1" x14ac:dyDescent="0.25">
      <c r="A2346" t="s">
        <v>146</v>
      </c>
    </row>
    <row r="2347" spans="1:1" x14ac:dyDescent="0.25">
      <c r="A2347" t="s">
        <v>1488</v>
      </c>
    </row>
    <row r="2348" spans="1:1" x14ac:dyDescent="0.25">
      <c r="A2348" t="s">
        <v>1489</v>
      </c>
    </row>
    <row r="2349" spans="1:1" x14ac:dyDescent="0.25">
      <c r="A2349" t="s">
        <v>1490</v>
      </c>
    </row>
    <row r="2350" spans="1:1" x14ac:dyDescent="0.25">
      <c r="A2350" t="s">
        <v>1491</v>
      </c>
    </row>
    <row r="2351" spans="1:1" x14ac:dyDescent="0.25">
      <c r="A2351" t="s">
        <v>1492</v>
      </c>
    </row>
    <row r="2352" spans="1:1" x14ac:dyDescent="0.25">
      <c r="A2352" t="s">
        <v>1493</v>
      </c>
    </row>
    <row r="2353" spans="1:1" x14ac:dyDescent="0.25">
      <c r="A2353" t="s">
        <v>1494</v>
      </c>
    </row>
    <row r="2354" spans="1:1" x14ac:dyDescent="0.25">
      <c r="A2354" t="s">
        <v>1495</v>
      </c>
    </row>
    <row r="2356" spans="1:1" x14ac:dyDescent="0.25">
      <c r="A2356" t="s">
        <v>1496</v>
      </c>
    </row>
    <row r="2357" spans="1:1" x14ac:dyDescent="0.25">
      <c r="A2357" t="s">
        <v>1497</v>
      </c>
    </row>
    <row r="2358" spans="1:1" x14ac:dyDescent="0.25">
      <c r="A2358" t="s">
        <v>1498</v>
      </c>
    </row>
    <row r="2360" spans="1:1" x14ac:dyDescent="0.25">
      <c r="A2360" t="s">
        <v>1499</v>
      </c>
    </row>
    <row r="2361" spans="1:1" x14ac:dyDescent="0.25">
      <c r="A2361" t="s">
        <v>1500</v>
      </c>
    </row>
    <row r="2362" spans="1:1" x14ac:dyDescent="0.25">
      <c r="A2362" t="s">
        <v>1501</v>
      </c>
    </row>
    <row r="2363" spans="1:1" x14ac:dyDescent="0.25">
      <c r="A2363" t="s">
        <v>1502</v>
      </c>
    </row>
    <row r="2364" spans="1:1" x14ac:dyDescent="0.25">
      <c r="A2364" t="s">
        <v>1503</v>
      </c>
    </row>
    <row r="2365" spans="1:1" x14ac:dyDescent="0.25">
      <c r="A2365" t="s">
        <v>1504</v>
      </c>
    </row>
    <row r="2366" spans="1:1" x14ac:dyDescent="0.25">
      <c r="A2366" t="s">
        <v>1505</v>
      </c>
    </row>
    <row r="2367" spans="1:1" x14ac:dyDescent="0.25">
      <c r="A2367" t="s">
        <v>1496</v>
      </c>
    </row>
    <row r="2368" spans="1:1" x14ac:dyDescent="0.25">
      <c r="A2368" t="s">
        <v>1497</v>
      </c>
    </row>
    <row r="2369" spans="1:1" x14ac:dyDescent="0.25">
      <c r="A2369" t="s">
        <v>1498</v>
      </c>
    </row>
    <row r="2370" spans="1:1" x14ac:dyDescent="0.25">
      <c r="A2370" t="s">
        <v>21</v>
      </c>
    </row>
    <row r="2371" spans="1:1" x14ac:dyDescent="0.25">
      <c r="A2371" t="s">
        <v>145</v>
      </c>
    </row>
    <row r="2373" spans="1:1" x14ac:dyDescent="0.25">
      <c r="A2373" t="s">
        <v>875</v>
      </c>
    </row>
    <row r="2374" spans="1:1" x14ac:dyDescent="0.25">
      <c r="A2374" t="s">
        <v>876</v>
      </c>
    </row>
    <row r="2375" spans="1:1" x14ac:dyDescent="0.25">
      <c r="A2375" t="s">
        <v>21</v>
      </c>
    </row>
    <row r="2378" spans="1:1" x14ac:dyDescent="0.25">
      <c r="A2378" t="s">
        <v>668</v>
      </c>
    </row>
    <row r="2379" spans="1:1" x14ac:dyDescent="0.25">
      <c r="A2379" t="s">
        <v>669</v>
      </c>
    </row>
    <row r="2380" spans="1:1" x14ac:dyDescent="0.25">
      <c r="A2380" t="s">
        <v>670</v>
      </c>
    </row>
    <row r="2381" spans="1:1" x14ac:dyDescent="0.25">
      <c r="A2381" t="s">
        <v>671</v>
      </c>
    </row>
    <row r="2382" spans="1:1" x14ac:dyDescent="0.25">
      <c r="A2382" t="s">
        <v>1506</v>
      </c>
    </row>
    <row r="2383" spans="1:1" x14ac:dyDescent="0.25">
      <c r="A2383" t="s">
        <v>672</v>
      </c>
    </row>
    <row r="2384" spans="1:1" x14ac:dyDescent="0.25">
      <c r="A2384" t="s">
        <v>268</v>
      </c>
    </row>
    <row r="2388" spans="1:1" x14ac:dyDescent="0.25">
      <c r="A2388" t="s">
        <v>1507</v>
      </c>
    </row>
    <row r="2389" spans="1:1" x14ac:dyDescent="0.25">
      <c r="A2389" t="s">
        <v>1508</v>
      </c>
    </row>
    <row r="2390" spans="1:1" x14ac:dyDescent="0.25">
      <c r="A2390" t="s">
        <v>1509</v>
      </c>
    </row>
    <row r="2391" spans="1:1" x14ac:dyDescent="0.25">
      <c r="A2391" t="s">
        <v>1510</v>
      </c>
    </row>
    <row r="2393" spans="1:1" x14ac:dyDescent="0.25">
      <c r="A2393" t="s">
        <v>1511</v>
      </c>
    </row>
    <row r="2395" spans="1:1" x14ac:dyDescent="0.25">
      <c r="A2395" t="s">
        <v>1512</v>
      </c>
    </row>
    <row r="2396" spans="1:1" x14ac:dyDescent="0.25">
      <c r="A2396" t="s">
        <v>1513</v>
      </c>
    </row>
    <row r="2399" spans="1:1" x14ac:dyDescent="0.25">
      <c r="A2399" t="s">
        <v>1514</v>
      </c>
    </row>
    <row r="2400" spans="1:1" x14ac:dyDescent="0.25">
      <c r="A2400" t="s">
        <v>1515</v>
      </c>
    </row>
    <row r="2401" spans="1:1" x14ac:dyDescent="0.25">
      <c r="A2401" t="s">
        <v>1516</v>
      </c>
    </row>
    <row r="2402" spans="1:1" x14ac:dyDescent="0.25">
      <c r="A2402" t="s">
        <v>1517</v>
      </c>
    </row>
    <row r="2403" spans="1:1" x14ac:dyDescent="0.25">
      <c r="A2403" t="s">
        <v>1518</v>
      </c>
    </row>
    <row r="2404" spans="1:1" x14ac:dyDescent="0.25">
      <c r="A2404" t="s">
        <v>1519</v>
      </c>
    </row>
    <row r="2405" spans="1:1" x14ac:dyDescent="0.25">
      <c r="A2405" t="s">
        <v>37</v>
      </c>
    </row>
    <row r="2406" spans="1:1" x14ac:dyDescent="0.25">
      <c r="A2406" t="s">
        <v>1520</v>
      </c>
    </row>
    <row r="2407" spans="1:1" x14ac:dyDescent="0.25">
      <c r="A2407" t="s">
        <v>1521</v>
      </c>
    </row>
    <row r="2408" spans="1:1" x14ac:dyDescent="0.25">
      <c r="A2408" t="s">
        <v>37</v>
      </c>
    </row>
    <row r="2409" spans="1:1" x14ac:dyDescent="0.25">
      <c r="A2409" t="s">
        <v>1522</v>
      </c>
    </row>
    <row r="2410" spans="1:1" x14ac:dyDescent="0.25">
      <c r="A2410" t="s">
        <v>1523</v>
      </c>
    </row>
    <row r="2411" spans="1:1" x14ac:dyDescent="0.25">
      <c r="A2411" t="s">
        <v>1524</v>
      </c>
    </row>
    <row r="2412" spans="1:1" x14ac:dyDescent="0.25">
      <c r="A2412" t="s">
        <v>1525</v>
      </c>
    </row>
    <row r="2413" spans="1:1" x14ac:dyDescent="0.25">
      <c r="A2413" t="s">
        <v>1510</v>
      </c>
    </row>
    <row r="2414" spans="1:1" x14ac:dyDescent="0.25">
      <c r="A2414" t="s">
        <v>1526</v>
      </c>
    </row>
    <row r="2415" spans="1:1" x14ac:dyDescent="0.25">
      <c r="A2415" t="s">
        <v>1527</v>
      </c>
    </row>
    <row r="2416" spans="1:1" x14ac:dyDescent="0.25">
      <c r="A2416" t="s">
        <v>1528</v>
      </c>
    </row>
    <row r="2417" spans="1:1" x14ac:dyDescent="0.25">
      <c r="A2417" t="s">
        <v>1529</v>
      </c>
    </row>
    <row r="2418" spans="1:1" x14ac:dyDescent="0.25">
      <c r="A2418" t="s">
        <v>1530</v>
      </c>
    </row>
    <row r="2419" spans="1:1" x14ac:dyDescent="0.25">
      <c r="A2419" t="s">
        <v>1531</v>
      </c>
    </row>
    <row r="2420" spans="1:1" x14ac:dyDescent="0.25">
      <c r="A2420" t="s">
        <v>1532</v>
      </c>
    </row>
    <row r="2421" spans="1:1" x14ac:dyDescent="0.25">
      <c r="A2421" t="s">
        <v>263</v>
      </c>
    </row>
    <row r="2422" spans="1:1" x14ac:dyDescent="0.25">
      <c r="A2422" t="s">
        <v>1533</v>
      </c>
    </row>
    <row r="2423" spans="1:1" x14ac:dyDescent="0.25">
      <c r="A2423" t="s">
        <v>1534</v>
      </c>
    </row>
    <row r="2424" spans="1:1" x14ac:dyDescent="0.25">
      <c r="A2424" t="s">
        <v>1535</v>
      </c>
    </row>
    <row r="2426" spans="1:1" x14ac:dyDescent="0.25">
      <c r="A2426" t="s">
        <v>1536</v>
      </c>
    </row>
    <row r="2427" spans="1:1" x14ac:dyDescent="0.25">
      <c r="A2427" t="s">
        <v>263</v>
      </c>
    </row>
    <row r="2429" spans="1:1" x14ac:dyDescent="0.25">
      <c r="A2429" t="s">
        <v>263</v>
      </c>
    </row>
    <row r="2430" spans="1:1" x14ac:dyDescent="0.25">
      <c r="A2430" t="s">
        <v>1537</v>
      </c>
    </row>
    <row r="2431" spans="1:1" x14ac:dyDescent="0.25">
      <c r="A2431" t="s">
        <v>1538</v>
      </c>
    </row>
    <row r="2432" spans="1:1" x14ac:dyDescent="0.25">
      <c r="A2432" t="s">
        <v>1539</v>
      </c>
    </row>
    <row r="2433" spans="1:1" x14ac:dyDescent="0.25">
      <c r="A2433" t="s">
        <v>263</v>
      </c>
    </row>
    <row r="2434" spans="1:1" x14ac:dyDescent="0.25">
      <c r="A2434" t="s">
        <v>1537</v>
      </c>
    </row>
    <row r="2435" spans="1:1" x14ac:dyDescent="0.25">
      <c r="A2435" t="s">
        <v>263</v>
      </c>
    </row>
    <row r="2436" spans="1:1" x14ac:dyDescent="0.25">
      <c r="A2436" t="s">
        <v>1537</v>
      </c>
    </row>
    <row r="2437" spans="1:1" x14ac:dyDescent="0.25">
      <c r="A2437" t="s">
        <v>1540</v>
      </c>
    </row>
    <row r="2438" spans="1:1" x14ac:dyDescent="0.25">
      <c r="A2438" t="s">
        <v>1541</v>
      </c>
    </row>
    <row r="2439" spans="1:1" x14ac:dyDescent="0.25">
      <c r="A2439" t="s">
        <v>266</v>
      </c>
    </row>
    <row r="2440" spans="1:1" x14ac:dyDescent="0.25">
      <c r="A2440" t="s">
        <v>1542</v>
      </c>
    </row>
    <row r="2441" spans="1:1" x14ac:dyDescent="0.25">
      <c r="A2441" t="s">
        <v>268</v>
      </c>
    </row>
    <row r="2442" spans="1:1" x14ac:dyDescent="0.25">
      <c r="A2442" t="s">
        <v>263</v>
      </c>
    </row>
    <row r="2443" spans="1:1" x14ac:dyDescent="0.25">
      <c r="A2443" t="s">
        <v>1543</v>
      </c>
    </row>
    <row r="2444" spans="1:1" x14ac:dyDescent="0.25">
      <c r="A2444" t="s">
        <v>1544</v>
      </c>
    </row>
    <row r="2445" spans="1:1" x14ac:dyDescent="0.25">
      <c r="A2445" t="s">
        <v>1545</v>
      </c>
    </row>
    <row r="2446" spans="1:1" x14ac:dyDescent="0.25">
      <c r="A2446" t="s">
        <v>1546</v>
      </c>
    </row>
    <row r="2448" spans="1:1" x14ac:dyDescent="0.25">
      <c r="A2448" t="s">
        <v>1547</v>
      </c>
    </row>
    <row r="2450" spans="1:1" x14ac:dyDescent="0.25">
      <c r="A2450" t="s">
        <v>1548</v>
      </c>
    </row>
    <row r="2451" spans="1:1" x14ac:dyDescent="0.25">
      <c r="A2451" t="s">
        <v>1549</v>
      </c>
    </row>
    <row r="2452" spans="1:1" x14ac:dyDescent="0.25">
      <c r="A2452" t="s">
        <v>1550</v>
      </c>
    </row>
    <row r="2453" spans="1:1" x14ac:dyDescent="0.25">
      <c r="A2453" t="s">
        <v>1551</v>
      </c>
    </row>
    <row r="2457" spans="1:1" x14ac:dyDescent="0.25">
      <c r="A2457" t="s">
        <v>1552</v>
      </c>
    </row>
    <row r="2458" spans="1:1" x14ac:dyDescent="0.25">
      <c r="A2458" t="s">
        <v>156</v>
      </c>
    </row>
    <row r="2459" spans="1:1" x14ac:dyDescent="0.25">
      <c r="A2459" t="s">
        <v>1553</v>
      </c>
    </row>
    <row r="2460" spans="1:1" x14ac:dyDescent="0.25">
      <c r="A2460" t="s">
        <v>160</v>
      </c>
    </row>
    <row r="2461" spans="1:1" x14ac:dyDescent="0.25">
      <c r="A2461" t="s">
        <v>1554</v>
      </c>
    </row>
    <row r="2462" spans="1:1" x14ac:dyDescent="0.25">
      <c r="A2462" t="s">
        <v>1555</v>
      </c>
    </row>
    <row r="2463" spans="1:1" x14ac:dyDescent="0.25">
      <c r="A2463" t="s">
        <v>1556</v>
      </c>
    </row>
    <row r="2464" spans="1:1" x14ac:dyDescent="0.25">
      <c r="A2464" t="s">
        <v>168</v>
      </c>
    </row>
    <row r="2465" spans="1:1" x14ac:dyDescent="0.25">
      <c r="A2465" t="s">
        <v>21</v>
      </c>
    </row>
    <row r="2468" spans="1:1" x14ac:dyDescent="0.25">
      <c r="A2468" t="s">
        <v>1557</v>
      </c>
    </row>
    <row r="2469" spans="1:1" x14ac:dyDescent="0.25">
      <c r="A2469" t="s">
        <v>1558</v>
      </c>
    </row>
    <row r="2470" spans="1:1" x14ac:dyDescent="0.25">
      <c r="A2470" t="b">
        <f>COUNTIF($A$2:$A$15,A2)=1</f>
        <v>0</v>
      </c>
    </row>
    <row r="2472" spans="1:1" x14ac:dyDescent="0.25">
      <c r="A2472" t="s">
        <v>1559</v>
      </c>
    </row>
    <row r="2473" spans="1:1" x14ac:dyDescent="0.25">
      <c r="A2473" t="s">
        <v>1560</v>
      </c>
    </row>
    <row r="2476" spans="1:1" x14ac:dyDescent="0.25">
      <c r="A2476" t="s">
        <v>891</v>
      </c>
    </row>
    <row r="2477" spans="1:1" x14ac:dyDescent="0.25">
      <c r="A2477" t="s">
        <v>883</v>
      </c>
    </row>
    <row r="2478" spans="1:1" x14ac:dyDescent="0.25">
      <c r="A2478" t="s">
        <v>884</v>
      </c>
    </row>
    <row r="2479" spans="1:1" x14ac:dyDescent="0.25">
      <c r="A2479" t="s">
        <v>892</v>
      </c>
    </row>
    <row r="2480" spans="1:1" x14ac:dyDescent="0.25">
      <c r="A2480" t="s">
        <v>168</v>
      </c>
    </row>
    <row r="2481" spans="1:1" x14ac:dyDescent="0.25">
      <c r="A2481" t="s">
        <v>886</v>
      </c>
    </row>
    <row r="2482" spans="1:1" x14ac:dyDescent="0.25">
      <c r="A2482" t="s">
        <v>893</v>
      </c>
    </row>
    <row r="2483" spans="1:1" x14ac:dyDescent="0.25">
      <c r="A2483" t="s">
        <v>583</v>
      </c>
    </row>
    <row r="2484" spans="1:1" x14ac:dyDescent="0.25">
      <c r="A2484" t="s">
        <v>888</v>
      </c>
    </row>
    <row r="2485" spans="1:1" x14ac:dyDescent="0.25">
      <c r="A2485" t="s">
        <v>894</v>
      </c>
    </row>
    <row r="2486" spans="1:1" x14ac:dyDescent="0.25">
      <c r="A2486" t="s">
        <v>890</v>
      </c>
    </row>
    <row r="2487" spans="1:1" x14ac:dyDescent="0.25">
      <c r="A2487" t="s">
        <v>21</v>
      </c>
    </row>
    <row r="2489" spans="1:1" x14ac:dyDescent="0.25">
      <c r="A2489" t="s">
        <v>1561</v>
      </c>
    </row>
    <row r="2490" spans="1:1" x14ac:dyDescent="0.25">
      <c r="A2490" t="s">
        <v>507</v>
      </c>
    </row>
    <row r="2491" spans="1:1" x14ac:dyDescent="0.25">
      <c r="A2491" t="s">
        <v>1562</v>
      </c>
    </row>
    <row r="2492" spans="1:1" x14ac:dyDescent="0.25">
      <c r="A2492" t="s">
        <v>1563</v>
      </c>
    </row>
    <row r="2493" spans="1:1" x14ac:dyDescent="0.25">
      <c r="A2493" t="s">
        <v>1564</v>
      </c>
    </row>
    <row r="2494" spans="1:1" x14ac:dyDescent="0.25">
      <c r="A2494" t="s">
        <v>1565</v>
      </c>
    </row>
    <row r="2495" spans="1:1" x14ac:dyDescent="0.25">
      <c r="A2495" t="s">
        <v>1566</v>
      </c>
    </row>
    <row r="2496" spans="1:1" x14ac:dyDescent="0.25">
      <c r="A2496" t="s">
        <v>1567</v>
      </c>
    </row>
    <row r="2497" spans="1:1" x14ac:dyDescent="0.25">
      <c r="A2497" t="s">
        <v>1568</v>
      </c>
    </row>
    <row r="2498" spans="1:1" x14ac:dyDescent="0.25">
      <c r="A2498" t="s">
        <v>1569</v>
      </c>
    </row>
    <row r="2499" spans="1:1" x14ac:dyDescent="0.25">
      <c r="A2499" t="s">
        <v>1570</v>
      </c>
    </row>
    <row r="2500" spans="1:1" x14ac:dyDescent="0.25">
      <c r="A2500" t="s">
        <v>1571</v>
      </c>
    </row>
    <row r="2501" spans="1:1" x14ac:dyDescent="0.25">
      <c r="A2501" t="s">
        <v>168</v>
      </c>
    </row>
    <row r="2502" spans="1:1" x14ac:dyDescent="0.25">
      <c r="A2502" t="s">
        <v>21</v>
      </c>
    </row>
    <row r="2505" spans="1:1" x14ac:dyDescent="0.25">
      <c r="A2505" t="s">
        <v>1572</v>
      </c>
    </row>
    <row r="2506" spans="1:1" x14ac:dyDescent="0.25">
      <c r="A2506" t="s">
        <v>1573</v>
      </c>
    </row>
    <row r="2507" spans="1:1" x14ac:dyDescent="0.25">
      <c r="A2507" t="s">
        <v>1574</v>
      </c>
    </row>
    <row r="2508" spans="1:1" x14ac:dyDescent="0.25">
      <c r="A2508" t="s">
        <v>1575</v>
      </c>
    </row>
    <row r="2509" spans="1:1" x14ac:dyDescent="0.25">
      <c r="A2509" t="s">
        <v>1576</v>
      </c>
    </row>
    <row r="2510" spans="1:1" x14ac:dyDescent="0.25">
      <c r="A2510" t="s">
        <v>1577</v>
      </c>
    </row>
    <row r="2511" spans="1:1" x14ac:dyDescent="0.25">
      <c r="A2511" t="s">
        <v>1578</v>
      </c>
    </row>
    <row r="2512" spans="1:1" x14ac:dyDescent="0.25">
      <c r="A2512" t="s">
        <v>1579</v>
      </c>
    </row>
    <row r="2513" spans="1:1" x14ac:dyDescent="0.25">
      <c r="A2513" t="s">
        <v>1580</v>
      </c>
    </row>
    <row r="2514" spans="1:1" x14ac:dyDescent="0.25">
      <c r="A2514" t="s">
        <v>1581</v>
      </c>
    </row>
    <row r="2515" spans="1:1" x14ac:dyDescent="0.25">
      <c r="A2515" t="s">
        <v>1582</v>
      </c>
    </row>
    <row r="2516" spans="1:1" x14ac:dyDescent="0.25">
      <c r="A2516" t="s">
        <v>1583</v>
      </c>
    </row>
    <row r="2517" spans="1:1" x14ac:dyDescent="0.25">
      <c r="A2517" t="s">
        <v>1584</v>
      </c>
    </row>
    <row r="2518" spans="1:1" x14ac:dyDescent="0.25">
      <c r="A2518" t="s">
        <v>1585</v>
      </c>
    </row>
    <row r="2519" spans="1:1" x14ac:dyDescent="0.25">
      <c r="A2519" t="s">
        <v>1586</v>
      </c>
    </row>
    <row r="2520" spans="1:1" x14ac:dyDescent="0.25">
      <c r="A2520" t="s">
        <v>1587</v>
      </c>
    </row>
    <row r="2521" spans="1:1" x14ac:dyDescent="0.25">
      <c r="A2521" t="s">
        <v>1588</v>
      </c>
    </row>
    <row r="2522" spans="1:1" x14ac:dyDescent="0.25">
      <c r="A2522" t="s">
        <v>1589</v>
      </c>
    </row>
    <row r="2523" spans="1:1" x14ac:dyDescent="0.25">
      <c r="A2523" t="s">
        <v>1590</v>
      </c>
    </row>
    <row r="2524" spans="1:1" x14ac:dyDescent="0.25">
      <c r="A2524" t="s">
        <v>1591</v>
      </c>
    </row>
    <row r="2525" spans="1:1" x14ac:dyDescent="0.25">
      <c r="A2525" t="s">
        <v>1592</v>
      </c>
    </row>
    <row r="2526" spans="1:1" x14ac:dyDescent="0.25">
      <c r="A2526" t="s">
        <v>1593</v>
      </c>
    </row>
    <row r="2527" spans="1:1" x14ac:dyDescent="0.25">
      <c r="A2527" t="s">
        <v>1594</v>
      </c>
    </row>
    <row r="2528" spans="1:1" x14ac:dyDescent="0.25">
      <c r="A2528" t="s">
        <v>1595</v>
      </c>
    </row>
    <row r="2529" spans="1:1" x14ac:dyDescent="0.25">
      <c r="A2529" t="s">
        <v>1596</v>
      </c>
    </row>
    <row r="2530" spans="1:1" x14ac:dyDescent="0.25">
      <c r="A2530" t="s">
        <v>1597</v>
      </c>
    </row>
    <row r="2531" spans="1:1" x14ac:dyDescent="0.25">
      <c r="A2531" t="s">
        <v>1598</v>
      </c>
    </row>
    <row r="2532" spans="1:1" x14ac:dyDescent="0.25">
      <c r="A2532" t="s">
        <v>1599</v>
      </c>
    </row>
    <row r="2533" spans="1:1" x14ac:dyDescent="0.25">
      <c r="A2533" t="s">
        <v>941</v>
      </c>
    </row>
    <row r="2534" spans="1:1" x14ac:dyDescent="0.25">
      <c r="A2534" t="s">
        <v>942</v>
      </c>
    </row>
    <row r="2535" spans="1:1" x14ac:dyDescent="0.25">
      <c r="A2535" t="s">
        <v>883</v>
      </c>
    </row>
    <row r="2536" spans="1:1" x14ac:dyDescent="0.25">
      <c r="A2536" t="s">
        <v>943</v>
      </c>
    </row>
    <row r="2537" spans="1:1" x14ac:dyDescent="0.25">
      <c r="A2537" t="s">
        <v>944</v>
      </c>
    </row>
    <row r="2538" spans="1:1" x14ac:dyDescent="0.25">
      <c r="A2538" t="s">
        <v>945</v>
      </c>
    </row>
    <row r="2539" spans="1:1" x14ac:dyDescent="0.25">
      <c r="A2539" t="s">
        <v>583</v>
      </c>
    </row>
    <row r="2540" spans="1:1" x14ac:dyDescent="0.25">
      <c r="A2540" t="s">
        <v>168</v>
      </c>
    </row>
    <row r="2541" spans="1:1" x14ac:dyDescent="0.25">
      <c r="A2541" t="s">
        <v>946</v>
      </c>
    </row>
    <row r="2542" spans="1:1" x14ac:dyDescent="0.25">
      <c r="A2542" t="s">
        <v>21</v>
      </c>
    </row>
    <row r="2543" spans="1:1" x14ac:dyDescent="0.25">
      <c r="A2543" t="s">
        <v>1316</v>
      </c>
    </row>
    <row r="2544" spans="1:1" x14ac:dyDescent="0.25">
      <c r="A2544" t="s">
        <v>1500</v>
      </c>
    </row>
    <row r="2545" spans="1:1" x14ac:dyDescent="0.25">
      <c r="A2545" t="s">
        <v>1600</v>
      </c>
    </row>
    <row r="2546" spans="1:1" x14ac:dyDescent="0.25">
      <c r="A2546" t="s">
        <v>21</v>
      </c>
    </row>
    <row r="2547" spans="1:1" x14ac:dyDescent="0.25">
      <c r="A2547" t="s">
        <v>806</v>
      </c>
    </row>
    <row r="2548" spans="1:1" x14ac:dyDescent="0.25">
      <c r="A2548" t="s">
        <v>807</v>
      </c>
    </row>
    <row r="2549" spans="1:1" x14ac:dyDescent="0.25">
      <c r="A2549" t="s">
        <v>808</v>
      </c>
    </row>
    <row r="2550" spans="1:1" x14ac:dyDescent="0.25">
      <c r="A2550" t="s">
        <v>809</v>
      </c>
    </row>
    <row r="2551" spans="1:1" x14ac:dyDescent="0.25">
      <c r="A2551" t="s">
        <v>810</v>
      </c>
    </row>
    <row r="2552" spans="1:1" x14ac:dyDescent="0.25">
      <c r="A2552" t="s">
        <v>811</v>
      </c>
    </row>
    <row r="2553" spans="1:1" x14ac:dyDescent="0.25">
      <c r="A2553" t="s">
        <v>398</v>
      </c>
    </row>
    <row r="2554" spans="1:1" x14ac:dyDescent="0.25">
      <c r="A2554" t="s">
        <v>812</v>
      </c>
    </row>
    <row r="2555" spans="1:1" x14ac:dyDescent="0.25">
      <c r="A2555" t="s">
        <v>21</v>
      </c>
    </row>
    <row r="2557" spans="1:1" x14ac:dyDescent="0.25">
      <c r="A2557" t="s">
        <v>781</v>
      </c>
    </row>
    <row r="2558" spans="1:1" x14ac:dyDescent="0.25">
      <c r="A2558" t="s">
        <v>782</v>
      </c>
    </row>
    <row r="2559" spans="1:1" x14ac:dyDescent="0.25">
      <c r="A2559" t="s">
        <v>783</v>
      </c>
    </row>
    <row r="2560" spans="1:1" x14ac:dyDescent="0.25">
      <c r="A2560" t="s">
        <v>784</v>
      </c>
    </row>
    <row r="2561" spans="1:1" x14ac:dyDescent="0.25">
      <c r="A2561" t="s">
        <v>209</v>
      </c>
    </row>
    <row r="2562" spans="1:1" x14ac:dyDescent="0.25">
      <c r="A2562" t="s">
        <v>785</v>
      </c>
    </row>
    <row r="2563" spans="1:1" x14ac:dyDescent="0.25">
      <c r="A2563" t="s">
        <v>1601</v>
      </c>
    </row>
    <row r="2564" spans="1:1" x14ac:dyDescent="0.25">
      <c r="A2564" t="s">
        <v>1602</v>
      </c>
    </row>
    <row r="2565" spans="1:1" x14ac:dyDescent="0.25">
      <c r="A2565" t="s">
        <v>788</v>
      </c>
    </row>
    <row r="2566" spans="1:1" x14ac:dyDescent="0.25">
      <c r="A2566" t="s">
        <v>1603</v>
      </c>
    </row>
    <row r="2567" spans="1:1" x14ac:dyDescent="0.25">
      <c r="A2567" t="s">
        <v>268</v>
      </c>
    </row>
    <row r="2568" spans="1:1" x14ac:dyDescent="0.25">
      <c r="A2568" t="s">
        <v>1604</v>
      </c>
    </row>
    <row r="2569" spans="1:1" x14ac:dyDescent="0.25">
      <c r="A2569" t="s">
        <v>1605</v>
      </c>
    </row>
    <row r="2570" spans="1:1" x14ac:dyDescent="0.25">
      <c r="A2570" t="s">
        <v>1606</v>
      </c>
    </row>
    <row r="2571" spans="1:1" x14ac:dyDescent="0.25">
      <c r="A2571" t="s">
        <v>1607</v>
      </c>
    </row>
    <row r="2572" spans="1:1" x14ac:dyDescent="0.25">
      <c r="A2572" t="s">
        <v>168</v>
      </c>
    </row>
    <row r="2573" spans="1:1" x14ac:dyDescent="0.25">
      <c r="A2573" t="s">
        <v>21</v>
      </c>
    </row>
    <row r="2575" spans="1:1" x14ac:dyDescent="0.25">
      <c r="A2575" t="s">
        <v>806</v>
      </c>
    </row>
    <row r="2576" spans="1:1" x14ac:dyDescent="0.25">
      <c r="A2576" t="s">
        <v>807</v>
      </c>
    </row>
    <row r="2577" spans="1:1" x14ac:dyDescent="0.25">
      <c r="A2577" t="s">
        <v>808</v>
      </c>
    </row>
    <row r="2578" spans="1:1" x14ac:dyDescent="0.25">
      <c r="A2578" t="s">
        <v>809</v>
      </c>
    </row>
    <row r="2579" spans="1:1" x14ac:dyDescent="0.25">
      <c r="A2579" t="s">
        <v>810</v>
      </c>
    </row>
    <row r="2580" spans="1:1" x14ac:dyDescent="0.25">
      <c r="A2580" t="s">
        <v>811</v>
      </c>
    </row>
    <row r="2581" spans="1:1" x14ac:dyDescent="0.25">
      <c r="A2581" t="s">
        <v>398</v>
      </c>
    </row>
    <row r="2582" spans="1:1" x14ac:dyDescent="0.25">
      <c r="A2582" t="s">
        <v>812</v>
      </c>
    </row>
    <row r="2583" spans="1:1" x14ac:dyDescent="0.25">
      <c r="A2583" t="s">
        <v>21</v>
      </c>
    </row>
    <row r="2585" spans="1:1" x14ac:dyDescent="0.25">
      <c r="A2585" t="s">
        <v>1608</v>
      </c>
    </row>
    <row r="2586" spans="1:1" x14ac:dyDescent="0.25">
      <c r="A2586" t="s">
        <v>1609</v>
      </c>
    </row>
    <row r="2587" spans="1:1" x14ac:dyDescent="0.25">
      <c r="A2587" t="s">
        <v>1610</v>
      </c>
    </row>
    <row r="2588" spans="1:1" x14ac:dyDescent="0.25">
      <c r="A2588" t="s">
        <v>1611</v>
      </c>
    </row>
    <row r="2589" spans="1:1" x14ac:dyDescent="0.25">
      <c r="A2589" t="s">
        <v>1612</v>
      </c>
    </row>
    <row r="2590" spans="1:1" x14ac:dyDescent="0.25">
      <c r="A2590" t="s">
        <v>1613</v>
      </c>
    </row>
    <row r="2591" spans="1:1" x14ac:dyDescent="0.25">
      <c r="A2591" t="s">
        <v>1614</v>
      </c>
    </row>
    <row r="2592" spans="1:1" x14ac:dyDescent="0.25">
      <c r="A2592" t="s">
        <v>1615</v>
      </c>
    </row>
    <row r="2593" spans="1:1" x14ac:dyDescent="0.25">
      <c r="A2593" t="s">
        <v>1616</v>
      </c>
    </row>
    <row r="2594" spans="1:1" x14ac:dyDescent="0.25">
      <c r="A2594" t="s">
        <v>1617</v>
      </c>
    </row>
    <row r="2595" spans="1:1" x14ac:dyDescent="0.25">
      <c r="A2595" t="s">
        <v>1618</v>
      </c>
    </row>
    <row r="2596" spans="1:1" x14ac:dyDescent="0.25">
      <c r="A2596" t="s">
        <v>1619</v>
      </c>
    </row>
    <row r="2597" spans="1:1" x14ac:dyDescent="0.25">
      <c r="A2597" t="s">
        <v>21</v>
      </c>
    </row>
    <row r="2599" spans="1:1" x14ac:dyDescent="0.25">
      <c r="A2599" t="s">
        <v>1620</v>
      </c>
    </row>
    <row r="2600" spans="1:1" x14ac:dyDescent="0.25">
      <c r="A2600" t="s">
        <v>1621</v>
      </c>
    </row>
    <row r="2601" spans="1:1" x14ac:dyDescent="0.25">
      <c r="A2601" t="s">
        <v>1622</v>
      </c>
    </row>
    <row r="2602" spans="1:1" x14ac:dyDescent="0.25">
      <c r="A2602" t="s">
        <v>1623</v>
      </c>
    </row>
    <row r="2603" spans="1:1" x14ac:dyDescent="0.25">
      <c r="A2603" t="s">
        <v>1624</v>
      </c>
    </row>
    <row r="2604" spans="1:1" x14ac:dyDescent="0.25">
      <c r="A2604" t="s">
        <v>21</v>
      </c>
    </row>
    <row r="2606" spans="1:1" x14ac:dyDescent="0.25">
      <c r="A2606" t="s">
        <v>941</v>
      </c>
    </row>
    <row r="2607" spans="1:1" x14ac:dyDescent="0.25">
      <c r="A2607" t="s">
        <v>942</v>
      </c>
    </row>
    <row r="2608" spans="1:1" x14ac:dyDescent="0.25">
      <c r="A2608" t="s">
        <v>883</v>
      </c>
    </row>
    <row r="2609" spans="1:1" x14ac:dyDescent="0.25">
      <c r="A2609" t="s">
        <v>943</v>
      </c>
    </row>
    <row r="2610" spans="1:1" x14ac:dyDescent="0.25">
      <c r="A2610" t="s">
        <v>944</v>
      </c>
    </row>
    <row r="2611" spans="1:1" x14ac:dyDescent="0.25">
      <c r="A2611" t="s">
        <v>945</v>
      </c>
    </row>
    <row r="2612" spans="1:1" x14ac:dyDescent="0.25">
      <c r="A2612" t="s">
        <v>583</v>
      </c>
    </row>
    <row r="2613" spans="1:1" x14ac:dyDescent="0.25">
      <c r="A2613" t="s">
        <v>168</v>
      </c>
    </row>
    <row r="2614" spans="1:1" x14ac:dyDescent="0.25">
      <c r="A2614" t="s">
        <v>946</v>
      </c>
    </row>
    <row r="2615" spans="1:1" x14ac:dyDescent="0.25">
      <c r="A2615" t="s">
        <v>21</v>
      </c>
    </row>
    <row r="2617" spans="1:1" x14ac:dyDescent="0.25">
      <c r="A2617" t="s">
        <v>1316</v>
      </c>
    </row>
    <row r="2618" spans="1:1" x14ac:dyDescent="0.25">
      <c r="A2618" t="s">
        <v>1500</v>
      </c>
    </row>
    <row r="2619" spans="1:1" x14ac:dyDescent="0.25">
      <c r="A2619" t="s">
        <v>1625</v>
      </c>
    </row>
    <row r="2620" spans="1:1" x14ac:dyDescent="0.25">
      <c r="A2620" t="s">
        <v>248</v>
      </c>
    </row>
    <row r="2621" spans="1:1" x14ac:dyDescent="0.25">
      <c r="A2621" t="s">
        <v>1626</v>
      </c>
    </row>
    <row r="2622" spans="1:1" x14ac:dyDescent="0.25">
      <c r="A2622" t="s">
        <v>1627</v>
      </c>
    </row>
    <row r="2623" spans="1:1" x14ac:dyDescent="0.25">
      <c r="A2623" t="s">
        <v>921</v>
      </c>
    </row>
    <row r="2624" spans="1:1" x14ac:dyDescent="0.25">
      <c r="A2624" t="s">
        <v>922</v>
      </c>
    </row>
    <row r="2625" spans="1:1" x14ac:dyDescent="0.25">
      <c r="A2625" t="s">
        <v>1628</v>
      </c>
    </row>
    <row r="2626" spans="1:1" x14ac:dyDescent="0.25">
      <c r="A2626" t="s">
        <v>1629</v>
      </c>
    </row>
    <row r="2627" spans="1:1" x14ac:dyDescent="0.25">
      <c r="A2627" t="s">
        <v>1630</v>
      </c>
    </row>
    <row r="2628" spans="1:1" x14ac:dyDescent="0.25">
      <c r="A2628" t="s">
        <v>1631</v>
      </c>
    </row>
    <row r="2629" spans="1:1" x14ac:dyDescent="0.25">
      <c r="A2629" t="s">
        <v>21</v>
      </c>
    </row>
    <row r="2631" spans="1:1" x14ac:dyDescent="0.25">
      <c r="A2631" t="s">
        <v>1632</v>
      </c>
    </row>
    <row r="2632" spans="1:1" x14ac:dyDescent="0.25">
      <c r="A2632" t="s">
        <v>1500</v>
      </c>
    </row>
    <row r="2633" spans="1:1" x14ac:dyDescent="0.25">
      <c r="A2633" t="s">
        <v>921</v>
      </c>
    </row>
    <row r="2634" spans="1:1" x14ac:dyDescent="0.25">
      <c r="A2634" t="s">
        <v>1633</v>
      </c>
    </row>
    <row r="2635" spans="1:1" x14ac:dyDescent="0.25">
      <c r="A2635" t="s">
        <v>1634</v>
      </c>
    </row>
    <row r="2636" spans="1:1" x14ac:dyDescent="0.25">
      <c r="A2636" t="s">
        <v>1635</v>
      </c>
    </row>
    <row r="2637" spans="1:1" x14ac:dyDescent="0.25">
      <c r="A2637" t="s">
        <v>21</v>
      </c>
    </row>
    <row r="2638" spans="1:1" x14ac:dyDescent="0.25">
      <c r="A2638" t="s">
        <v>806</v>
      </c>
    </row>
    <row r="2639" spans="1:1" x14ac:dyDescent="0.25">
      <c r="A2639" t="s">
        <v>807</v>
      </c>
    </row>
    <row r="2640" spans="1:1" x14ac:dyDescent="0.25">
      <c r="A2640" t="s">
        <v>808</v>
      </c>
    </row>
    <row r="2641" spans="1:1" x14ac:dyDescent="0.25">
      <c r="A2641" t="s">
        <v>809</v>
      </c>
    </row>
    <row r="2642" spans="1:1" x14ac:dyDescent="0.25">
      <c r="A2642" t="s">
        <v>810</v>
      </c>
    </row>
    <row r="2643" spans="1:1" x14ac:dyDescent="0.25">
      <c r="A2643" t="s">
        <v>811</v>
      </c>
    </row>
    <row r="2644" spans="1:1" x14ac:dyDescent="0.25">
      <c r="A2644" t="s">
        <v>398</v>
      </c>
    </row>
    <row r="2645" spans="1:1" x14ac:dyDescent="0.25">
      <c r="A2645" t="s">
        <v>812</v>
      </c>
    </row>
    <row r="2646" spans="1:1" x14ac:dyDescent="0.25">
      <c r="A2646" t="s">
        <v>21</v>
      </c>
    </row>
    <row r="2649" spans="1:1" x14ac:dyDescent="0.25">
      <c r="A2649" t="s">
        <v>1636</v>
      </c>
    </row>
    <row r="2650" spans="1:1" x14ac:dyDescent="0.25">
      <c r="A2650" t="s">
        <v>1637</v>
      </c>
    </row>
    <row r="2651" spans="1:1" x14ac:dyDescent="0.25">
      <c r="A2651" t="s">
        <v>1638</v>
      </c>
    </row>
    <row r="2652" spans="1:1" x14ac:dyDescent="0.25">
      <c r="A2652" t="s">
        <v>1639</v>
      </c>
    </row>
    <row r="2653" spans="1:1" x14ac:dyDescent="0.25">
      <c r="A2653" t="s">
        <v>479</v>
      </c>
    </row>
    <row r="2655" spans="1:1" x14ac:dyDescent="0.25">
      <c r="A2655" t="s">
        <v>1640</v>
      </c>
    </row>
    <row r="2656" spans="1:1" x14ac:dyDescent="0.25">
      <c r="A2656" t="s">
        <v>1641</v>
      </c>
    </row>
    <row r="2669" spans="1:1" x14ac:dyDescent="0.25">
      <c r="A2669" t="s">
        <v>21</v>
      </c>
    </row>
    <row r="2671" spans="1:1" x14ac:dyDescent="0.25">
      <c r="A2671" t="s">
        <v>1642</v>
      </c>
    </row>
    <row r="2672" spans="1:1" x14ac:dyDescent="0.25">
      <c r="A2672" t="s">
        <v>1643</v>
      </c>
    </row>
    <row r="2675" spans="1:1" x14ac:dyDescent="0.25">
      <c r="A2675" t="s">
        <v>21</v>
      </c>
    </row>
    <row r="2677" spans="1:1" x14ac:dyDescent="0.25">
      <c r="A2677" t="s">
        <v>1640</v>
      </c>
    </row>
    <row r="2678" spans="1:1" x14ac:dyDescent="0.25">
      <c r="A2678" t="s">
        <v>1644</v>
      </c>
    </row>
    <row r="2679" spans="1:1" x14ac:dyDescent="0.25">
      <c r="A2679" t="s">
        <v>21</v>
      </c>
    </row>
    <row r="2681" spans="1:1" x14ac:dyDescent="0.25">
      <c r="A2681" t="s">
        <v>1642</v>
      </c>
    </row>
    <row r="2682" spans="1:1" x14ac:dyDescent="0.25">
      <c r="A2682" t="s">
        <v>1645</v>
      </c>
    </row>
    <row r="2683" spans="1:1" x14ac:dyDescent="0.25">
      <c r="A2683" t="s">
        <v>21</v>
      </c>
    </row>
    <row r="2686" spans="1:1" x14ac:dyDescent="0.25">
      <c r="A2686" t="s">
        <v>1646</v>
      </c>
    </row>
    <row r="2687" spans="1:1" x14ac:dyDescent="0.25">
      <c r="A2687" t="s">
        <v>1647</v>
      </c>
    </row>
    <row r="2688" spans="1:1" x14ac:dyDescent="0.25">
      <c r="A2688" t="s">
        <v>1648</v>
      </c>
    </row>
    <row r="2689" spans="1:1" x14ac:dyDescent="0.25">
      <c r="A2689" t="s">
        <v>1649</v>
      </c>
    </row>
    <row r="2690" spans="1:1" x14ac:dyDescent="0.25">
      <c r="A2690" t="s">
        <v>1650</v>
      </c>
    </row>
    <row r="2691" spans="1:1" x14ac:dyDescent="0.25">
      <c r="A2691" t="s">
        <v>1651</v>
      </c>
    </row>
    <row r="2692" spans="1:1" x14ac:dyDescent="0.25">
      <c r="A2692" t="s">
        <v>1652</v>
      </c>
    </row>
    <row r="2693" spans="1:1" x14ac:dyDescent="0.25">
      <c r="A2693" t="s">
        <v>1653</v>
      </c>
    </row>
    <row r="2694" spans="1:1" x14ac:dyDescent="0.25">
      <c r="A2694" t="s">
        <v>1654</v>
      </c>
    </row>
    <row r="2695" spans="1:1" x14ac:dyDescent="0.25">
      <c r="A2695" t="s">
        <v>1655</v>
      </c>
    </row>
    <row r="2696" spans="1:1" x14ac:dyDescent="0.25">
      <c r="A2696" t="s">
        <v>1656</v>
      </c>
    </row>
    <row r="2697" spans="1:1" x14ac:dyDescent="0.25">
      <c r="A2697" t="s">
        <v>21</v>
      </c>
    </row>
    <row r="2699" spans="1:1" x14ac:dyDescent="0.25">
      <c r="A2699" t="s">
        <v>1186</v>
      </c>
    </row>
    <row r="2700" spans="1:1" x14ac:dyDescent="0.25">
      <c r="A2700" t="s">
        <v>1187</v>
      </c>
    </row>
    <row r="2701" spans="1:1" x14ac:dyDescent="0.25">
      <c r="A2701" t="s">
        <v>1188</v>
      </c>
    </row>
    <row r="2702" spans="1:1" x14ac:dyDescent="0.25">
      <c r="A2702" t="s">
        <v>1189</v>
      </c>
    </row>
    <row r="2703" spans="1:1" x14ac:dyDescent="0.25">
      <c r="A2703" t="s">
        <v>1190</v>
      </c>
    </row>
    <row r="2704" spans="1:1" x14ac:dyDescent="0.25">
      <c r="A2704" t="s">
        <v>1191</v>
      </c>
    </row>
    <row r="2705" spans="1:1" x14ac:dyDescent="0.25">
      <c r="A2705" t="s">
        <v>1192</v>
      </c>
    </row>
    <row r="2706" spans="1:1" x14ac:dyDescent="0.25">
      <c r="A2706" t="s">
        <v>1193</v>
      </c>
    </row>
    <row r="2707" spans="1:1" x14ac:dyDescent="0.25">
      <c r="A2707" t="s">
        <v>1194</v>
      </c>
    </row>
    <row r="2708" spans="1:1" x14ac:dyDescent="0.25">
      <c r="A2708" t="s">
        <v>1195</v>
      </c>
    </row>
    <row r="2709" spans="1:1" x14ac:dyDescent="0.25">
      <c r="A2709" t="s">
        <v>1196</v>
      </c>
    </row>
    <row r="2710" spans="1:1" x14ac:dyDescent="0.25">
      <c r="A2710" t="s">
        <v>1197</v>
      </c>
    </row>
    <row r="2711" spans="1:1" x14ac:dyDescent="0.25">
      <c r="A2711" t="s">
        <v>1198</v>
      </c>
    </row>
    <row r="2712" spans="1:1" x14ac:dyDescent="0.25">
      <c r="A2712" t="s">
        <v>1199</v>
      </c>
    </row>
    <row r="2713" spans="1:1" x14ac:dyDescent="0.25">
      <c r="A2713" t="s">
        <v>1200</v>
      </c>
    </row>
    <row r="2714" spans="1:1" x14ac:dyDescent="0.25">
      <c r="A2714" t="s">
        <v>1201</v>
      </c>
    </row>
    <row r="2715" spans="1:1" x14ac:dyDescent="0.25">
      <c r="A2715" t="s">
        <v>1202</v>
      </c>
    </row>
    <row r="2716" spans="1:1" x14ac:dyDescent="0.25">
      <c r="A2716" t="s">
        <v>21</v>
      </c>
    </row>
    <row r="2718" spans="1:1" x14ac:dyDescent="0.25">
      <c r="A2718" t="s">
        <v>1657</v>
      </c>
    </row>
    <row r="2719" spans="1:1" x14ac:dyDescent="0.25">
      <c r="A2719" t="s">
        <v>1658</v>
      </c>
    </row>
    <row r="2720" spans="1:1" x14ac:dyDescent="0.25">
      <c r="A2720" t="s">
        <v>1659</v>
      </c>
    </row>
    <row r="2721" spans="1:1" x14ac:dyDescent="0.25">
      <c r="A2721" t="s">
        <v>1660</v>
      </c>
    </row>
    <row r="2722" spans="1:1" x14ac:dyDescent="0.25">
      <c r="A2722" t="s">
        <v>1661</v>
      </c>
    </row>
    <row r="2723" spans="1:1" x14ac:dyDescent="0.25">
      <c r="A2723" t="s">
        <v>1662</v>
      </c>
    </row>
    <row r="2724" spans="1:1" x14ac:dyDescent="0.25">
      <c r="A2724" t="s">
        <v>1663</v>
      </c>
    </row>
    <row r="2725" spans="1:1" x14ac:dyDescent="0.25">
      <c r="A2725" t="s">
        <v>1664</v>
      </c>
    </row>
    <row r="2726" spans="1:1" x14ac:dyDescent="0.25">
      <c r="A2726" t="s">
        <v>1665</v>
      </c>
    </row>
    <row r="2727" spans="1:1" x14ac:dyDescent="0.25">
      <c r="A2727" t="s">
        <v>21</v>
      </c>
    </row>
    <row r="2729" spans="1:1" x14ac:dyDescent="0.25">
      <c r="A2729" t="s">
        <v>1666</v>
      </c>
    </row>
    <row r="2730" spans="1:1" x14ac:dyDescent="0.25">
      <c r="A2730" t="s">
        <v>1667</v>
      </c>
    </row>
    <row r="2731" spans="1:1" x14ac:dyDescent="0.25">
      <c r="A2731" t="s">
        <v>1668</v>
      </c>
    </row>
    <row r="2732" spans="1:1" x14ac:dyDescent="0.25">
      <c r="A2732" t="s">
        <v>1669</v>
      </c>
    </row>
    <row r="2733" spans="1:1" x14ac:dyDescent="0.25">
      <c r="A2733" t="s">
        <v>1670</v>
      </c>
    </row>
    <row r="2734" spans="1:1" x14ac:dyDescent="0.25">
      <c r="A2734" t="s">
        <v>1671</v>
      </c>
    </row>
    <row r="2735" spans="1:1" x14ac:dyDescent="0.25">
      <c r="A2735" t="s">
        <v>1672</v>
      </c>
    </row>
    <row r="2736" spans="1:1" x14ac:dyDescent="0.25">
      <c r="A2736" t="s">
        <v>1663</v>
      </c>
    </row>
    <row r="2737" spans="1:1" x14ac:dyDescent="0.25">
      <c r="A2737" t="s">
        <v>1664</v>
      </c>
    </row>
    <row r="2738" spans="1:1" x14ac:dyDescent="0.25">
      <c r="A2738" t="s">
        <v>1673</v>
      </c>
    </row>
    <row r="2739" spans="1:1" x14ac:dyDescent="0.25">
      <c r="A2739" t="s">
        <v>1674</v>
      </c>
    </row>
    <row r="2740" spans="1:1" x14ac:dyDescent="0.25">
      <c r="A2740" t="s">
        <v>21</v>
      </c>
    </row>
    <row r="2742" spans="1:1" x14ac:dyDescent="0.25">
      <c r="A2742" t="s">
        <v>1204</v>
      </c>
    </row>
    <row r="2743" spans="1:1" x14ac:dyDescent="0.25">
      <c r="A2743" t="s">
        <v>1205</v>
      </c>
    </row>
    <row r="2744" spans="1:1" x14ac:dyDescent="0.25">
      <c r="A2744" t="s">
        <v>1206</v>
      </c>
    </row>
    <row r="2745" spans="1:1" x14ac:dyDescent="0.25">
      <c r="A2745" t="s">
        <v>1207</v>
      </c>
    </row>
    <row r="2746" spans="1:1" x14ac:dyDescent="0.25">
      <c r="A2746" t="s">
        <v>1208</v>
      </c>
    </row>
    <row r="2747" spans="1:1" x14ac:dyDescent="0.25">
      <c r="A2747" t="s">
        <v>1209</v>
      </c>
    </row>
    <row r="2748" spans="1:1" x14ac:dyDescent="0.25">
      <c r="A2748" t="s">
        <v>1210</v>
      </c>
    </row>
    <row r="2749" spans="1:1" x14ac:dyDescent="0.25">
      <c r="A2749" t="s">
        <v>1211</v>
      </c>
    </row>
    <row r="2750" spans="1:1" x14ac:dyDescent="0.25">
      <c r="A2750" t="s">
        <v>1212</v>
      </c>
    </row>
    <row r="2751" spans="1:1" x14ac:dyDescent="0.25">
      <c r="A2751" t="s">
        <v>1213</v>
      </c>
    </row>
    <row r="2752" spans="1:1" x14ac:dyDescent="0.25">
      <c r="A2752" t="s">
        <v>1214</v>
      </c>
    </row>
    <row r="2753" spans="1:1" x14ac:dyDescent="0.25">
      <c r="A2753" t="s">
        <v>1215</v>
      </c>
    </row>
    <row r="2754" spans="1:1" x14ac:dyDescent="0.25">
      <c r="A2754" t="s">
        <v>1216</v>
      </c>
    </row>
    <row r="2755" spans="1:1" x14ac:dyDescent="0.25">
      <c r="A2755" t="s">
        <v>21</v>
      </c>
    </row>
    <row r="2757" spans="1:1" x14ac:dyDescent="0.25">
      <c r="A2757" t="s">
        <v>1217</v>
      </c>
    </row>
    <row r="2758" spans="1:1" x14ac:dyDescent="0.25">
      <c r="A2758" t="s">
        <v>1218</v>
      </c>
    </row>
    <row r="2759" spans="1:1" x14ac:dyDescent="0.25">
      <c r="A2759" t="s">
        <v>1206</v>
      </c>
    </row>
    <row r="2760" spans="1:1" x14ac:dyDescent="0.25">
      <c r="A2760" t="s">
        <v>1207</v>
      </c>
    </row>
    <row r="2761" spans="1:1" x14ac:dyDescent="0.25">
      <c r="A2761" t="s">
        <v>1219</v>
      </c>
    </row>
    <row r="2762" spans="1:1" x14ac:dyDescent="0.25">
      <c r="A2762" t="s">
        <v>1220</v>
      </c>
    </row>
    <row r="2763" spans="1:1" x14ac:dyDescent="0.25">
      <c r="A2763" t="s">
        <v>1221</v>
      </c>
    </row>
    <row r="2764" spans="1:1" x14ac:dyDescent="0.25">
      <c r="A2764" t="s">
        <v>1209</v>
      </c>
    </row>
    <row r="2765" spans="1:1" x14ac:dyDescent="0.25">
      <c r="A2765" t="s">
        <v>1222</v>
      </c>
    </row>
    <row r="2766" spans="1:1" x14ac:dyDescent="0.25">
      <c r="A2766" t="s">
        <v>1223</v>
      </c>
    </row>
    <row r="2767" spans="1:1" x14ac:dyDescent="0.25">
      <c r="A2767" t="s">
        <v>1224</v>
      </c>
    </row>
    <row r="2768" spans="1:1" x14ac:dyDescent="0.25">
      <c r="A2768" t="s">
        <v>1225</v>
      </c>
    </row>
    <row r="2769" spans="1:1" x14ac:dyDescent="0.25">
      <c r="A2769" t="s">
        <v>1226</v>
      </c>
    </row>
    <row r="2770" spans="1:1" x14ac:dyDescent="0.25">
      <c r="A2770" t="s">
        <v>1213</v>
      </c>
    </row>
    <row r="2771" spans="1:1" x14ac:dyDescent="0.25">
      <c r="A2771" t="s">
        <v>1214</v>
      </c>
    </row>
    <row r="2772" spans="1:1" x14ac:dyDescent="0.25">
      <c r="A2772" t="s">
        <v>1215</v>
      </c>
    </row>
    <row r="2773" spans="1:1" x14ac:dyDescent="0.25">
      <c r="A2773" t="s">
        <v>1227</v>
      </c>
    </row>
    <row r="2774" spans="1:1" x14ac:dyDescent="0.25">
      <c r="A2774" t="s">
        <v>21</v>
      </c>
    </row>
    <row r="2776" spans="1:1" x14ac:dyDescent="0.25">
      <c r="A2776" t="s">
        <v>1675</v>
      </c>
    </row>
    <row r="2777" spans="1:1" x14ac:dyDescent="0.25">
      <c r="A2777" t="s">
        <v>1676</v>
      </c>
    </row>
    <row r="2778" spans="1:1" x14ac:dyDescent="0.25">
      <c r="A2778" t="s">
        <v>1677</v>
      </c>
    </row>
    <row r="2779" spans="1:1" x14ac:dyDescent="0.25">
      <c r="A2779" t="s">
        <v>1209</v>
      </c>
    </row>
    <row r="2780" spans="1:1" x14ac:dyDescent="0.25">
      <c r="A2780" t="s">
        <v>1222</v>
      </c>
    </row>
    <row r="2781" spans="1:1" x14ac:dyDescent="0.25">
      <c r="A2781" t="s">
        <v>1213</v>
      </c>
    </row>
    <row r="2782" spans="1:1" x14ac:dyDescent="0.25">
      <c r="A2782" t="s">
        <v>1678</v>
      </c>
    </row>
    <row r="2783" spans="1:1" x14ac:dyDescent="0.25">
      <c r="A2783" t="s">
        <v>1214</v>
      </c>
    </row>
    <row r="2784" spans="1:1" x14ac:dyDescent="0.25">
      <c r="A2784" t="s">
        <v>21</v>
      </c>
    </row>
    <row r="2786" spans="1:1" x14ac:dyDescent="0.25">
      <c r="A2786" t="s">
        <v>947</v>
      </c>
    </row>
    <row r="2787" spans="1:1" x14ac:dyDescent="0.25">
      <c r="A2787" t="s">
        <v>948</v>
      </c>
    </row>
    <row r="2788" spans="1:1" x14ac:dyDescent="0.25">
      <c r="A2788" t="s">
        <v>949</v>
      </c>
    </row>
    <row r="2789" spans="1:1" x14ac:dyDescent="0.25">
      <c r="A2789" t="s">
        <v>1679</v>
      </c>
    </row>
    <row r="2790" spans="1:1" x14ac:dyDescent="0.25">
      <c r="A2790" t="s">
        <v>160</v>
      </c>
    </row>
    <row r="2791" spans="1:1" x14ac:dyDescent="0.25">
      <c r="A2791" t="s">
        <v>951</v>
      </c>
    </row>
    <row r="2792" spans="1:1" x14ac:dyDescent="0.25">
      <c r="A2792" t="s">
        <v>827</v>
      </c>
    </row>
    <row r="2793" spans="1:1" x14ac:dyDescent="0.25">
      <c r="A2793" t="s">
        <v>828</v>
      </c>
    </row>
    <row r="2794" spans="1:1" x14ac:dyDescent="0.25">
      <c r="A2794" t="s">
        <v>262</v>
      </c>
    </row>
    <row r="2795" spans="1:1" x14ac:dyDescent="0.25">
      <c r="A2795" t="s">
        <v>168</v>
      </c>
    </row>
    <row r="2796" spans="1:1" x14ac:dyDescent="0.25">
      <c r="A2796" t="s">
        <v>21</v>
      </c>
    </row>
    <row r="2797" spans="1:1" x14ac:dyDescent="0.25">
      <c r="A2797" t="s">
        <v>1008</v>
      </c>
    </row>
    <row r="2798" spans="1:1" x14ac:dyDescent="0.25">
      <c r="A2798" t="s">
        <v>1009</v>
      </c>
    </row>
    <row r="2799" spans="1:1" x14ac:dyDescent="0.25">
      <c r="A2799" t="s">
        <v>1144</v>
      </c>
    </row>
    <row r="2800" spans="1:1" x14ac:dyDescent="0.25">
      <c r="A2800" t="s">
        <v>1011</v>
      </c>
    </row>
    <row r="2801" spans="1:1" x14ac:dyDescent="0.25">
      <c r="A2801" t="s">
        <v>1071</v>
      </c>
    </row>
    <row r="2802" spans="1:1" x14ac:dyDescent="0.25">
      <c r="A2802" t="s">
        <v>1072</v>
      </c>
    </row>
    <row r="2803" spans="1:1" x14ac:dyDescent="0.25">
      <c r="A2803" t="s">
        <v>21</v>
      </c>
    </row>
    <row r="2805" spans="1:1" x14ac:dyDescent="0.25">
      <c r="A2805" t="s">
        <v>1680</v>
      </c>
    </row>
    <row r="2806" spans="1:1" x14ac:dyDescent="0.25">
      <c r="A2806" t="s">
        <v>1681</v>
      </c>
    </row>
    <row r="2807" spans="1:1" x14ac:dyDescent="0.25">
      <c r="A2807" t="s">
        <v>1682</v>
      </c>
    </row>
    <row r="2808" spans="1:1" x14ac:dyDescent="0.25">
      <c r="A2808" t="s">
        <v>1683</v>
      </c>
    </row>
    <row r="2809" spans="1:1" x14ac:dyDescent="0.25">
      <c r="A2809" t="s">
        <v>1684</v>
      </c>
    </row>
    <row r="2810" spans="1:1" x14ac:dyDescent="0.25">
      <c r="A2810" t="s">
        <v>1685</v>
      </c>
    </row>
    <row r="2811" spans="1:1" x14ac:dyDescent="0.25">
      <c r="A2811" t="s">
        <v>1686</v>
      </c>
    </row>
    <row r="2812" spans="1:1" x14ac:dyDescent="0.25">
      <c r="A2812" t="s">
        <v>1687</v>
      </c>
    </row>
    <row r="2813" spans="1:1" x14ac:dyDescent="0.25">
      <c r="A2813" t="s">
        <v>1688</v>
      </c>
    </row>
    <row r="2814" spans="1:1" x14ac:dyDescent="0.25">
      <c r="A2814" t="s">
        <v>1689</v>
      </c>
    </row>
    <row r="2815" spans="1:1" x14ac:dyDescent="0.25">
      <c r="A2815" t="s">
        <v>1690</v>
      </c>
    </row>
    <row r="2816" spans="1:1" x14ac:dyDescent="0.25">
      <c r="A2816" t="s">
        <v>21</v>
      </c>
    </row>
    <row r="2817" spans="1:1" x14ac:dyDescent="0.25">
      <c r="A2817" t="s">
        <v>1691</v>
      </c>
    </row>
    <row r="2818" spans="1:1" x14ac:dyDescent="0.25">
      <c r="A2818" t="s">
        <v>1681</v>
      </c>
    </row>
    <row r="2819" spans="1:1" x14ac:dyDescent="0.25">
      <c r="A2819" t="s">
        <v>1682</v>
      </c>
    </row>
    <row r="2820" spans="1:1" x14ac:dyDescent="0.25">
      <c r="A2820" t="s">
        <v>1683</v>
      </c>
    </row>
    <row r="2821" spans="1:1" x14ac:dyDescent="0.25">
      <c r="A2821" t="s">
        <v>1692</v>
      </c>
    </row>
    <row r="2822" spans="1:1" x14ac:dyDescent="0.25">
      <c r="A2822" t="s">
        <v>1693</v>
      </c>
    </row>
    <row r="2823" spans="1:1" x14ac:dyDescent="0.25">
      <c r="A2823" t="s">
        <v>1694</v>
      </c>
    </row>
    <row r="2824" spans="1:1" x14ac:dyDescent="0.25">
      <c r="A2824" t="s">
        <v>1695</v>
      </c>
    </row>
    <row r="2825" spans="1:1" x14ac:dyDescent="0.25">
      <c r="A2825" t="s">
        <v>1696</v>
      </c>
    </row>
    <row r="2826" spans="1:1" x14ac:dyDescent="0.25">
      <c r="A2826" t="s">
        <v>1697</v>
      </c>
    </row>
    <row r="2827" spans="1:1" x14ac:dyDescent="0.25">
      <c r="A2827" t="s">
        <v>1698</v>
      </c>
    </row>
    <row r="2828" spans="1:1" x14ac:dyDescent="0.25">
      <c r="A2828" t="s">
        <v>21</v>
      </c>
    </row>
    <row r="2830" spans="1:1" x14ac:dyDescent="0.25">
      <c r="A2830" t="s">
        <v>832</v>
      </c>
    </row>
    <row r="2831" spans="1:1" x14ac:dyDescent="0.25">
      <c r="A2831" t="s">
        <v>833</v>
      </c>
    </row>
    <row r="2832" spans="1:1" x14ac:dyDescent="0.25">
      <c r="A2832" t="s">
        <v>834</v>
      </c>
    </row>
    <row r="2833" spans="1:1" x14ac:dyDescent="0.25">
      <c r="A2833" t="s">
        <v>1228</v>
      </c>
    </row>
    <row r="2834" spans="1:1" x14ac:dyDescent="0.25">
      <c r="A2834" t="s">
        <v>836</v>
      </c>
    </row>
    <row r="2835" spans="1:1" x14ac:dyDescent="0.25">
      <c r="A2835" t="s">
        <v>837</v>
      </c>
    </row>
    <row r="2836" spans="1:1" x14ac:dyDescent="0.25">
      <c r="A2836" t="s">
        <v>838</v>
      </c>
    </row>
    <row r="2837" spans="1:1" x14ac:dyDescent="0.25">
      <c r="A2837" t="s">
        <v>1229</v>
      </c>
    </row>
    <row r="2838" spans="1:1" x14ac:dyDescent="0.25">
      <c r="A2838" t="s">
        <v>1230</v>
      </c>
    </row>
    <row r="2839" spans="1:1" x14ac:dyDescent="0.25">
      <c r="A2839" t="s">
        <v>1231</v>
      </c>
    </row>
    <row r="2840" spans="1:1" x14ac:dyDescent="0.25">
      <c r="A2840" t="s">
        <v>1232</v>
      </c>
    </row>
    <row r="2841" spans="1:1" x14ac:dyDescent="0.25">
      <c r="A2841" t="s">
        <v>21</v>
      </c>
    </row>
    <row r="2842" spans="1:1" x14ac:dyDescent="0.25">
      <c r="A2842" t="s">
        <v>840</v>
      </c>
    </row>
    <row r="2843" spans="1:1" x14ac:dyDescent="0.25">
      <c r="A2843" t="s">
        <v>841</v>
      </c>
    </row>
    <row r="2844" spans="1:1" x14ac:dyDescent="0.25">
      <c r="A2844" t="s">
        <v>842</v>
      </c>
    </row>
    <row r="2845" spans="1:1" x14ac:dyDescent="0.25">
      <c r="A2845" t="s">
        <v>1228</v>
      </c>
    </row>
    <row r="2846" spans="1:1" x14ac:dyDescent="0.25">
      <c r="A2846" t="s">
        <v>844</v>
      </c>
    </row>
    <row r="2847" spans="1:1" x14ac:dyDescent="0.25">
      <c r="A2847" t="s">
        <v>845</v>
      </c>
    </row>
    <row r="2848" spans="1:1" x14ac:dyDescent="0.25">
      <c r="A2848" t="s">
        <v>1233</v>
      </c>
    </row>
    <row r="2849" spans="1:1" x14ac:dyDescent="0.25">
      <c r="A2849" t="s">
        <v>849</v>
      </c>
    </row>
    <row r="2850" spans="1:1" x14ac:dyDescent="0.25">
      <c r="A2850" t="s">
        <v>1234</v>
      </c>
    </row>
    <row r="2851" spans="1:1" x14ac:dyDescent="0.25">
      <c r="A2851" t="s">
        <v>262</v>
      </c>
    </row>
    <row r="2852" spans="1:1" x14ac:dyDescent="0.25">
      <c r="A2852" t="s">
        <v>21</v>
      </c>
    </row>
    <row r="2853" spans="1:1" x14ac:dyDescent="0.25">
      <c r="A2853" t="s">
        <v>851</v>
      </c>
    </row>
    <row r="2854" spans="1:1" x14ac:dyDescent="0.25">
      <c r="A2854" t="s">
        <v>1235</v>
      </c>
    </row>
    <row r="2855" spans="1:1" x14ac:dyDescent="0.25">
      <c r="A2855" t="s">
        <v>842</v>
      </c>
    </row>
    <row r="2856" spans="1:1" x14ac:dyDescent="0.25">
      <c r="A2856" t="s">
        <v>1228</v>
      </c>
    </row>
    <row r="2857" spans="1:1" x14ac:dyDescent="0.25">
      <c r="A2857" t="s">
        <v>844</v>
      </c>
    </row>
    <row r="2858" spans="1:1" x14ac:dyDescent="0.25">
      <c r="A2858" t="s">
        <v>845</v>
      </c>
    </row>
    <row r="2859" spans="1:1" x14ac:dyDescent="0.25">
      <c r="A2859" t="s">
        <v>1236</v>
      </c>
    </row>
    <row r="2860" spans="1:1" x14ac:dyDescent="0.25">
      <c r="A2860" t="s">
        <v>849</v>
      </c>
    </row>
    <row r="2861" spans="1:1" x14ac:dyDescent="0.25">
      <c r="A2861" t="s">
        <v>1237</v>
      </c>
    </row>
    <row r="2862" spans="1:1" x14ac:dyDescent="0.25">
      <c r="A2862" t="s">
        <v>262</v>
      </c>
    </row>
    <row r="2863" spans="1:1" x14ac:dyDescent="0.25">
      <c r="A2863" t="s">
        <v>21</v>
      </c>
    </row>
    <row r="2865" spans="1:1" x14ac:dyDescent="0.25">
      <c r="A2865" t="s">
        <v>1699</v>
      </c>
    </row>
    <row r="2866" spans="1:1" x14ac:dyDescent="0.25">
      <c r="A2866" t="s">
        <v>1700</v>
      </c>
    </row>
    <row r="2867" spans="1:1" x14ac:dyDescent="0.25">
      <c r="A2867" t="s">
        <v>801</v>
      </c>
    </row>
    <row r="2868" spans="1:1" x14ac:dyDescent="0.25">
      <c r="A2868" t="s">
        <v>802</v>
      </c>
    </row>
    <row r="2869" spans="1:1" x14ac:dyDescent="0.25">
      <c r="A2869" t="s">
        <v>495</v>
      </c>
    </row>
    <row r="2870" spans="1:1" x14ac:dyDescent="0.25">
      <c r="A2870" t="s">
        <v>1701</v>
      </c>
    </row>
    <row r="2871" spans="1:1" x14ac:dyDescent="0.25">
      <c r="A2871" t="s">
        <v>278</v>
      </c>
    </row>
    <row r="2872" spans="1:1" x14ac:dyDescent="0.25">
      <c r="A2872" t="s">
        <v>21</v>
      </c>
    </row>
    <row r="2874" spans="1:1" x14ac:dyDescent="0.25">
      <c r="A2874" t="s">
        <v>1238</v>
      </c>
    </row>
    <row r="2875" spans="1:1" x14ac:dyDescent="0.25">
      <c r="A2875" t="s">
        <v>1702</v>
      </c>
    </row>
    <row r="2876" spans="1:1" x14ac:dyDescent="0.25">
      <c r="A2876" t="s">
        <v>21</v>
      </c>
    </row>
    <row r="2877" spans="1:1" x14ac:dyDescent="0.25">
      <c r="A2877" t="s">
        <v>556</v>
      </c>
    </row>
    <row r="2878" spans="1:1" x14ac:dyDescent="0.25">
      <c r="A2878" t="s">
        <v>1703</v>
      </c>
    </row>
    <row r="2879" spans="1:1" x14ac:dyDescent="0.25">
      <c r="A2879" t="s">
        <v>558</v>
      </c>
    </row>
    <row r="2880" spans="1:1" x14ac:dyDescent="0.25">
      <c r="A2880" t="s">
        <v>209</v>
      </c>
    </row>
    <row r="2881" spans="1:1" x14ac:dyDescent="0.25">
      <c r="A2881" t="s">
        <v>559</v>
      </c>
    </row>
    <row r="2882" spans="1:1" x14ac:dyDescent="0.25">
      <c r="A2882" t="s">
        <v>560</v>
      </c>
    </row>
    <row r="2883" spans="1:1" x14ac:dyDescent="0.25">
      <c r="A2883" t="s">
        <v>168</v>
      </c>
    </row>
    <row r="2884" spans="1:1" x14ac:dyDescent="0.25">
      <c r="A2884" t="s">
        <v>561</v>
      </c>
    </row>
    <row r="2885" spans="1:1" x14ac:dyDescent="0.25">
      <c r="A2885" t="s">
        <v>21</v>
      </c>
    </row>
    <row r="2887" spans="1:1" x14ac:dyDescent="0.25">
      <c r="A2887" t="s">
        <v>1080</v>
      </c>
    </row>
    <row r="2888" spans="1:1" x14ac:dyDescent="0.25">
      <c r="A2888" t="s">
        <v>1081</v>
      </c>
    </row>
    <row r="2889" spans="1:1" x14ac:dyDescent="0.25">
      <c r="A2889" t="s">
        <v>1082</v>
      </c>
    </row>
    <row r="2890" spans="1:1" x14ac:dyDescent="0.25">
      <c r="A2890" t="s">
        <v>21</v>
      </c>
    </row>
    <row r="2893" spans="1:1" x14ac:dyDescent="0.25">
      <c r="A2893" t="s">
        <v>1704</v>
      </c>
    </row>
    <row r="2894" spans="1:1" x14ac:dyDescent="0.25">
      <c r="A2894" t="s">
        <v>1705</v>
      </c>
    </row>
    <row r="2895" spans="1:1" x14ac:dyDescent="0.25">
      <c r="A2895" t="s">
        <v>1706</v>
      </c>
    </row>
    <row r="2896" spans="1:1" x14ac:dyDescent="0.25">
      <c r="A2896" t="s">
        <v>1707</v>
      </c>
    </row>
    <row r="2897" spans="1:1" x14ac:dyDescent="0.25">
      <c r="A2897" t="s">
        <v>555</v>
      </c>
    </row>
    <row r="2898" spans="1:1" x14ac:dyDescent="0.25">
      <c r="A2898" t="s">
        <v>21</v>
      </c>
    </row>
    <row r="2899" spans="1:1" x14ac:dyDescent="0.25">
      <c r="A2899" t="s">
        <v>1533</v>
      </c>
    </row>
    <row r="2900" spans="1:1" x14ac:dyDescent="0.25">
      <c r="A2900" t="s">
        <v>1526</v>
      </c>
    </row>
    <row r="2901" spans="1:1" x14ac:dyDescent="0.25">
      <c r="A2901" t="s">
        <v>1708</v>
      </c>
    </row>
    <row r="2902" spans="1:1" x14ac:dyDescent="0.25">
      <c r="A2902" t="s">
        <v>1528</v>
      </c>
    </row>
    <row r="2903" spans="1:1" x14ac:dyDescent="0.25">
      <c r="A2903" t="s">
        <v>1529</v>
      </c>
    </row>
    <row r="2906" spans="1:1" x14ac:dyDescent="0.25">
      <c r="A2906" t="s">
        <v>923</v>
      </c>
    </row>
    <row r="2907" spans="1:1" x14ac:dyDescent="0.25">
      <c r="A2907" t="s">
        <v>1709</v>
      </c>
    </row>
    <row r="2909" spans="1:1" x14ac:dyDescent="0.25">
      <c r="A2909" t="s">
        <v>1710</v>
      </c>
    </row>
    <row r="2910" spans="1:1" x14ac:dyDescent="0.25">
      <c r="A2910" t="s">
        <v>1711</v>
      </c>
    </row>
    <row r="2911" spans="1:1" x14ac:dyDescent="0.25">
      <c r="A2911" t="s">
        <v>1712</v>
      </c>
    </row>
    <row r="2912" spans="1:1" x14ac:dyDescent="0.25">
      <c r="A2912" t="s">
        <v>1713</v>
      </c>
    </row>
    <row r="2913" spans="1:1" x14ac:dyDescent="0.25">
      <c r="A2913" t="s">
        <v>1714</v>
      </c>
    </row>
    <row r="2914" spans="1:1" x14ac:dyDescent="0.25">
      <c r="A2914" t="s">
        <v>1715</v>
      </c>
    </row>
    <row r="2915" spans="1:1" x14ac:dyDescent="0.25">
      <c r="A2915" t="s">
        <v>1715</v>
      </c>
    </row>
    <row r="2916" spans="1:1" x14ac:dyDescent="0.25">
      <c r="A2916" t="s">
        <v>1716</v>
      </c>
    </row>
    <row r="2917" spans="1:1" x14ac:dyDescent="0.25">
      <c r="A2917" t="s">
        <v>1717</v>
      </c>
    </row>
    <row r="2919" spans="1:1" x14ac:dyDescent="0.25">
      <c r="A2919" t="s">
        <v>1718</v>
      </c>
    </row>
    <row r="2920" spans="1:1" x14ac:dyDescent="0.25">
      <c r="A2920" t="s">
        <v>1647</v>
      </c>
    </row>
    <row r="2921" spans="1:1" x14ac:dyDescent="0.25">
      <c r="A2921" t="s">
        <v>1719</v>
      </c>
    </row>
    <row r="2922" spans="1:1" x14ac:dyDescent="0.25">
      <c r="A2922" t="s">
        <v>1720</v>
      </c>
    </row>
    <row r="2923" spans="1:1" x14ac:dyDescent="0.25">
      <c r="A2923" t="s">
        <v>1721</v>
      </c>
    </row>
    <row r="2924" spans="1:1" x14ac:dyDescent="0.25">
      <c r="A2924" t="s">
        <v>1722</v>
      </c>
    </row>
    <row r="2925" spans="1:1" x14ac:dyDescent="0.25">
      <c r="A2925" t="s">
        <v>1723</v>
      </c>
    </row>
    <row r="2926" spans="1:1" x14ac:dyDescent="0.25">
      <c r="A2926" t="s">
        <v>1724</v>
      </c>
    </row>
    <row r="2927" spans="1:1" x14ac:dyDescent="0.25">
      <c r="A2927" t="s">
        <v>1725</v>
      </c>
    </row>
    <row r="2928" spans="1:1" x14ac:dyDescent="0.25">
      <c r="A2928" t="s">
        <v>21</v>
      </c>
    </row>
    <row r="2930" spans="1:1" x14ac:dyDescent="0.25">
      <c r="A2930" t="s">
        <v>1726</v>
      </c>
    </row>
    <row r="2931" spans="1:1" x14ac:dyDescent="0.25">
      <c r="A2931" t="s">
        <v>1727</v>
      </c>
    </row>
    <row r="2932" spans="1:1" x14ac:dyDescent="0.25">
      <c r="A2932" t="s">
        <v>1728</v>
      </c>
    </row>
    <row r="2934" spans="1:1" x14ac:dyDescent="0.25">
      <c r="A2934" t="s">
        <v>1729</v>
      </c>
    </row>
    <row r="2935" spans="1:1" x14ac:dyDescent="0.25">
      <c r="A2935" t="s">
        <v>1730</v>
      </c>
    </row>
    <row r="2936" spans="1:1" x14ac:dyDescent="0.25">
      <c r="A2936" t="s">
        <v>1731</v>
      </c>
    </row>
    <row r="2938" spans="1:1" x14ac:dyDescent="0.25">
      <c r="A2938" t="s">
        <v>1732</v>
      </c>
    </row>
    <row r="2939" spans="1:1" x14ac:dyDescent="0.25">
      <c r="A2939" t="s">
        <v>1733</v>
      </c>
    </row>
    <row r="2940" spans="1:1" x14ac:dyDescent="0.25">
      <c r="A2940" t="s">
        <v>1178</v>
      </c>
    </row>
    <row r="2941" spans="1:1" x14ac:dyDescent="0.25">
      <c r="A2941" t="s">
        <v>1734</v>
      </c>
    </row>
    <row r="2942" spans="1:1" x14ac:dyDescent="0.25">
      <c r="A2942" t="s">
        <v>1735</v>
      </c>
    </row>
    <row r="2943" spans="1:1" x14ac:dyDescent="0.25">
      <c r="A2943" t="s">
        <v>1736</v>
      </c>
    </row>
    <row r="2944" spans="1:1" x14ac:dyDescent="0.25">
      <c r="A2944" t="s">
        <v>1182</v>
      </c>
    </row>
    <row r="2945" spans="1:1" x14ac:dyDescent="0.25">
      <c r="A2945" t="s">
        <v>168</v>
      </c>
    </row>
    <row r="2946" spans="1:1" x14ac:dyDescent="0.25">
      <c r="A2946" t="s">
        <v>21</v>
      </c>
    </row>
    <row r="2948" spans="1:1" x14ac:dyDescent="0.25">
      <c r="A2948" t="s">
        <v>1177</v>
      </c>
    </row>
    <row r="2949" spans="1:1" x14ac:dyDescent="0.25">
      <c r="A2949" t="s">
        <v>1178</v>
      </c>
    </row>
    <row r="2950" spans="1:1" x14ac:dyDescent="0.25">
      <c r="A2950" t="s">
        <v>1179</v>
      </c>
    </row>
    <row r="2951" spans="1:1" x14ac:dyDescent="0.25">
      <c r="A2951" t="s">
        <v>1180</v>
      </c>
    </row>
    <row r="2952" spans="1:1" x14ac:dyDescent="0.25">
      <c r="A2952" t="s">
        <v>1181</v>
      </c>
    </row>
    <row r="2953" spans="1:1" x14ac:dyDescent="0.25">
      <c r="A2953" t="s">
        <v>1182</v>
      </c>
    </row>
    <row r="2954" spans="1:1" x14ac:dyDescent="0.25">
      <c r="A2954" t="s">
        <v>168</v>
      </c>
    </row>
    <row r="2955" spans="1:1" x14ac:dyDescent="0.25">
      <c r="A2955" t="s">
        <v>21</v>
      </c>
    </row>
    <row r="2956" spans="1:1" x14ac:dyDescent="0.25">
      <c r="A2956" t="s">
        <v>1732</v>
      </c>
    </row>
    <row r="2957" spans="1:1" x14ac:dyDescent="0.25">
      <c r="A2957" t="s">
        <v>1737</v>
      </c>
    </row>
    <row r="2958" spans="1:1" x14ac:dyDescent="0.25">
      <c r="A2958" t="s">
        <v>1184</v>
      </c>
    </row>
    <row r="2959" spans="1:1" x14ac:dyDescent="0.25">
      <c r="A2959" t="s">
        <v>1738</v>
      </c>
    </row>
    <row r="2960" spans="1:1" x14ac:dyDescent="0.25">
      <c r="A2960" t="s">
        <v>1739</v>
      </c>
    </row>
    <row r="2961" spans="1:1" x14ac:dyDescent="0.25">
      <c r="A2961" t="s">
        <v>1180</v>
      </c>
    </row>
    <row r="2962" spans="1:1" x14ac:dyDescent="0.25">
      <c r="A2962" t="s">
        <v>1740</v>
      </c>
    </row>
    <row r="2963" spans="1:1" x14ac:dyDescent="0.25">
      <c r="A2963" t="s">
        <v>1736</v>
      </c>
    </row>
    <row r="2964" spans="1:1" x14ac:dyDescent="0.25">
      <c r="A2964" t="s">
        <v>1741</v>
      </c>
    </row>
    <row r="2965" spans="1:1" x14ac:dyDescent="0.25">
      <c r="A2965" t="s">
        <v>1742</v>
      </c>
    </row>
    <row r="2966" spans="1:1" x14ac:dyDescent="0.25">
      <c r="A2966" t="s">
        <v>1743</v>
      </c>
    </row>
    <row r="2967" spans="1:1" x14ac:dyDescent="0.25">
      <c r="A2967" t="s">
        <v>168</v>
      </c>
    </row>
    <row r="2968" spans="1:1" x14ac:dyDescent="0.25">
      <c r="A2968" t="s">
        <v>21</v>
      </c>
    </row>
    <row r="2969" spans="1:1" x14ac:dyDescent="0.25">
      <c r="A2969" t="s">
        <v>1183</v>
      </c>
    </row>
    <row r="2970" spans="1:1" x14ac:dyDescent="0.25">
      <c r="A2970" t="s">
        <v>1000</v>
      </c>
    </row>
    <row r="2971" spans="1:1" x14ac:dyDescent="0.25">
      <c r="A2971" t="s">
        <v>1184</v>
      </c>
    </row>
    <row r="2972" spans="1:1" x14ac:dyDescent="0.25">
      <c r="A2972" t="s">
        <v>160</v>
      </c>
    </row>
    <row r="2973" spans="1:1" x14ac:dyDescent="0.25">
      <c r="A2973" t="s">
        <v>1744</v>
      </c>
    </row>
    <row r="2974" spans="1:1" x14ac:dyDescent="0.25">
      <c r="A2974" t="s">
        <v>1745</v>
      </c>
    </row>
    <row r="2975" spans="1:1" x14ac:dyDescent="0.25">
      <c r="A2975" t="s">
        <v>168</v>
      </c>
    </row>
    <row r="2976" spans="1:1" x14ac:dyDescent="0.25">
      <c r="A2976" t="s">
        <v>21</v>
      </c>
    </row>
    <row r="2977" spans="1:1" x14ac:dyDescent="0.25">
      <c r="A2977" t="s">
        <v>1746</v>
      </c>
    </row>
    <row r="2978" spans="1:1" x14ac:dyDescent="0.25">
      <c r="A2978" t="str">
        <f>LEFT(AD15,MIN(FIND({0,1,2,3,4,5,6,7,8,9},AD15&amp;"0123456789"))-1)</f>
        <v/>
      </c>
    </row>
    <row r="2979" spans="1:1" x14ac:dyDescent="0.25">
      <c r="A2979" t="str">
        <f>SUBSTITUTE( SUBSTITUTE( SUBSTITUTE( SUBSTITUTE(SUBSTITUTE( SUBSTITUTE( SUBSTITUTE( SUBSTITUTE( SUBSTITUTE(AE14,"1",""),"2",""), "3",""),"4",""),"5",""), "6",""),"7",""),"8",""),"9","")</f>
        <v/>
      </c>
    </row>
    <row r="2980" spans="1:1" x14ac:dyDescent="0.25">
      <c r="A2980" t="str">
        <f>RIGHT(AD15,LEN(AD15)-MIN(FIND({0,1,2,3,4,5,6,7,8,9},AD15&amp;"0123456789"))+1)</f>
        <v/>
      </c>
    </row>
    <row r="2981" spans="1:1" x14ac:dyDescent="0.25">
      <c r="A2981" t="str">
        <f>SUBSTITUTE(SUBSTITUTE(SUBSTITUTE(SUBSTITUTE(SUBSTITUTE(SUBSTITUTE(SUBSTITUTE(SUBSTITUTE(SUBSTITUTE(SUBSTITUTE(SUBSTITUTE(SUBSTITUTE(SUBSTITUTE(SUBSTITUTE(SUBSTITUTE(SUBSTITUTE(SUBSTITUTE(SUBSTITUTE(SUBSTITUTE(SUBSTITUTE(SUBSTITUTE(SUBSTITUTE(SUBSTITUTE(SUBSTITUTE(SUBSTITUTE(SUBSTITUTE(AF14,"a",""),"b",""),"c",""),"d",""),"e",""),"f",""),"g",""),"h",""),"i",""),"j",""),"k",""),"l",""),"m",""),"n",""),"o",""),"p",""),"q",""),"r",""),"s",""),"t",""),"u",""),"v",""),"w",""),"x",""),"y",""),"z","")</f>
        <v/>
      </c>
    </row>
    <row r="2982" spans="1:1" x14ac:dyDescent="0.25">
      <c r="A2982" t="s">
        <v>1747</v>
      </c>
    </row>
    <row r="2983" spans="1:1" x14ac:dyDescent="0.25">
      <c r="A2983">
        <f>SUM(LEN(AC18)-LEN(SUBSTITUTE(AC18,"suri","")))/LEN("suri")</f>
        <v>0</v>
      </c>
    </row>
    <row r="2984" spans="1:1" x14ac:dyDescent="0.25">
      <c r="A2984" t="s">
        <v>1748</v>
      </c>
    </row>
    <row r="2985" spans="1:1" x14ac:dyDescent="0.25">
      <c r="A2985" t="s">
        <v>1066</v>
      </c>
    </row>
    <row r="2986" spans="1:1" x14ac:dyDescent="0.25">
      <c r="A2986" t="s">
        <v>1067</v>
      </c>
    </row>
    <row r="2987" spans="1:1" x14ac:dyDescent="0.25">
      <c r="A2987" t="s">
        <v>1749</v>
      </c>
    </row>
    <row r="2988" spans="1:1" x14ac:dyDescent="0.25">
      <c r="A2988" t="s">
        <v>1069</v>
      </c>
    </row>
    <row r="2989" spans="1:1" x14ac:dyDescent="0.25">
      <c r="A2989" t="s">
        <v>1070</v>
      </c>
    </row>
    <row r="2990" spans="1:1" x14ac:dyDescent="0.25">
      <c r="A2990" t="s">
        <v>1012</v>
      </c>
    </row>
    <row r="2991" spans="1:1" x14ac:dyDescent="0.25">
      <c r="A2991" t="s">
        <v>1013</v>
      </c>
    </row>
    <row r="2992" spans="1:1" x14ac:dyDescent="0.25">
      <c r="A2992" t="s">
        <v>21</v>
      </c>
    </row>
    <row r="2994" spans="1:1" x14ac:dyDescent="0.25">
      <c r="A2994" t="s">
        <v>1750</v>
      </c>
    </row>
    <row r="2995" spans="1:1" x14ac:dyDescent="0.25">
      <c r="A2995" t="s">
        <v>1751</v>
      </c>
    </row>
    <row r="2996" spans="1:1" x14ac:dyDescent="0.25">
      <c r="A2996" t="s">
        <v>1752</v>
      </c>
    </row>
    <row r="2997" spans="1:1" x14ac:dyDescent="0.25">
      <c r="A2997" t="s">
        <v>1753</v>
      </c>
    </row>
    <row r="2998" spans="1:1" x14ac:dyDescent="0.25">
      <c r="A2998" t="s">
        <v>1754</v>
      </c>
    </row>
    <row r="2999" spans="1:1" x14ac:dyDescent="0.25">
      <c r="A2999" t="s">
        <v>1755</v>
      </c>
    </row>
    <row r="3001" spans="1:1" x14ac:dyDescent="0.25">
      <c r="A3001" t="s">
        <v>1756</v>
      </c>
    </row>
    <row r="3002" spans="1:1" x14ac:dyDescent="0.25">
      <c r="A3002" t="s">
        <v>1757</v>
      </c>
    </row>
    <row r="3003" spans="1:1" x14ac:dyDescent="0.25">
      <c r="A3003" t="s">
        <v>1758</v>
      </c>
    </row>
    <row r="3004" spans="1:1" x14ac:dyDescent="0.25">
      <c r="A3004" t="s">
        <v>1759</v>
      </c>
    </row>
    <row r="3005" spans="1:1" x14ac:dyDescent="0.25">
      <c r="A3005" t="s">
        <v>1760</v>
      </c>
    </row>
    <row r="3006" spans="1:1" x14ac:dyDescent="0.25">
      <c r="A3006" t="s">
        <v>1761</v>
      </c>
    </row>
    <row r="3007" spans="1:1" x14ac:dyDescent="0.25">
      <c r="A3007" t="s">
        <v>1762</v>
      </c>
    </row>
    <row r="3008" spans="1:1" x14ac:dyDescent="0.25">
      <c r="A3008" t="s">
        <v>1763</v>
      </c>
    </row>
    <row r="3010" spans="1:1" x14ac:dyDescent="0.25">
      <c r="A3010" t="s">
        <v>1764</v>
      </c>
    </row>
    <row r="3011" spans="1:1" x14ac:dyDescent="0.25">
      <c r="A3011" t="s">
        <v>1765</v>
      </c>
    </row>
    <row r="3013" spans="1:1" x14ac:dyDescent="0.25">
      <c r="A3013" t="s">
        <v>1766</v>
      </c>
    </row>
    <row r="3014" spans="1:1" x14ac:dyDescent="0.25">
      <c r="A3014" t="s">
        <v>1767</v>
      </c>
    </row>
    <row r="3015" spans="1:1" x14ac:dyDescent="0.25">
      <c r="A3015" t="s">
        <v>1768</v>
      </c>
    </row>
    <row r="3016" spans="1:1" x14ac:dyDescent="0.25">
      <c r="A3016" t="s">
        <v>1769</v>
      </c>
    </row>
    <row r="3018" spans="1:1" x14ac:dyDescent="0.25">
      <c r="A3018" t="s">
        <v>1770</v>
      </c>
    </row>
    <row r="3021" spans="1:1" x14ac:dyDescent="0.25">
      <c r="A3021" t="s">
        <v>1771</v>
      </c>
    </row>
    <row r="3022" spans="1:1" x14ac:dyDescent="0.25">
      <c r="A3022" t="str">
        <f>LEFT(A2,MIN(FIND({0,1,2,3,4,5,6,7,8,9},A2&amp;"0123456789"))-1)</f>
        <v>&gt;select max(salary) from emp where salary notin(select max(salary) from emp);</v>
      </c>
    </row>
    <row r="3023" spans="1:1" x14ac:dyDescent="0.25">
      <c r="A3023" t="s">
        <v>1772</v>
      </c>
    </row>
    <row r="3024" spans="1:1" x14ac:dyDescent="0.25">
      <c r="A3024" t="str">
        <f>RIGHT(A2,LEN(A2)-MIN(FIND({0,1,2,3,4,5,6,7,8,9},A2&amp;"0123456789"))+1)</f>
        <v/>
      </c>
    </row>
    <row r="3026" spans="1:1" x14ac:dyDescent="0.25">
      <c r="A3026" t="s">
        <v>1066</v>
      </c>
    </row>
    <row r="3027" spans="1:1" x14ac:dyDescent="0.25">
      <c r="A3027" t="s">
        <v>1067</v>
      </c>
    </row>
    <row r="3028" spans="1:1" x14ac:dyDescent="0.25">
      <c r="A3028" t="s">
        <v>1749</v>
      </c>
    </row>
    <row r="3029" spans="1:1" x14ac:dyDescent="0.25">
      <c r="A3029" t="s">
        <v>1069</v>
      </c>
    </row>
    <row r="3030" spans="1:1" x14ac:dyDescent="0.25">
      <c r="A3030" t="s">
        <v>1070</v>
      </c>
    </row>
    <row r="3031" spans="1:1" x14ac:dyDescent="0.25">
      <c r="A3031" t="s">
        <v>1012</v>
      </c>
    </row>
    <row r="3032" spans="1:1" x14ac:dyDescent="0.25">
      <c r="A3032" t="s">
        <v>1013</v>
      </c>
    </row>
    <row r="3033" spans="1:1" x14ac:dyDescent="0.25">
      <c r="A3033" t="s">
        <v>21</v>
      </c>
    </row>
    <row r="3036" spans="1:1" x14ac:dyDescent="0.25">
      <c r="A3036" t="s">
        <v>820</v>
      </c>
    </row>
    <row r="3037" spans="1:1" x14ac:dyDescent="0.25">
      <c r="A3037" t="s">
        <v>954</v>
      </c>
    </row>
    <row r="3038" spans="1:1" x14ac:dyDescent="0.25">
      <c r="A3038" t="s">
        <v>1773</v>
      </c>
    </row>
    <row r="3039" spans="1:1" x14ac:dyDescent="0.25">
      <c r="A3039" t="s">
        <v>956</v>
      </c>
    </row>
    <row r="3040" spans="1:1" x14ac:dyDescent="0.25">
      <c r="A3040" t="s">
        <v>1774</v>
      </c>
    </row>
    <row r="3041" spans="1:1" x14ac:dyDescent="0.25">
      <c r="A3041" t="s">
        <v>957</v>
      </c>
    </row>
    <row r="3042" spans="1:1" x14ac:dyDescent="0.25">
      <c r="A3042" t="s">
        <v>1775</v>
      </c>
    </row>
    <row r="3043" spans="1:1" x14ac:dyDescent="0.25">
      <c r="A3043" t="s">
        <v>1776</v>
      </c>
    </row>
    <row r="3044" spans="1:1" x14ac:dyDescent="0.25">
      <c r="A3044" t="s">
        <v>960</v>
      </c>
    </row>
    <row r="3045" spans="1:1" x14ac:dyDescent="0.25">
      <c r="A3045" t="s">
        <v>21</v>
      </c>
    </row>
    <row r="3047" spans="1:1" x14ac:dyDescent="0.25">
      <c r="A3047" t="s">
        <v>1777</v>
      </c>
    </row>
    <row r="3048" spans="1:1" x14ac:dyDescent="0.25">
      <c r="A3048" t="s">
        <v>1778</v>
      </c>
    </row>
    <row r="3049" spans="1:1" x14ac:dyDescent="0.25">
      <c r="A3049">
        <f>SUM(LEN(AG23)-LEN(SUBSTITUTE(AG23,"Suri","")))/LEN("Suri")</f>
        <v>0</v>
      </c>
    </row>
    <row r="3051" spans="1:1" x14ac:dyDescent="0.25">
      <c r="A3051" t="s">
        <v>1779</v>
      </c>
    </row>
    <row r="3052" spans="1:1" x14ac:dyDescent="0.25">
      <c r="A3052" t="s">
        <v>1780</v>
      </c>
    </row>
    <row r="3053" spans="1:1" x14ac:dyDescent="0.25">
      <c r="A3053" t="s">
        <v>1781</v>
      </c>
    </row>
    <row r="3054" spans="1:1" x14ac:dyDescent="0.25">
      <c r="A3054" t="s">
        <v>1782</v>
      </c>
    </row>
    <row r="3055" spans="1:1" x14ac:dyDescent="0.25">
      <c r="A3055" t="s">
        <v>1783</v>
      </c>
    </row>
    <row r="3056" spans="1:1" x14ac:dyDescent="0.25">
      <c r="A3056" t="s">
        <v>1784</v>
      </c>
    </row>
    <row r="3057" spans="1:1" x14ac:dyDescent="0.25">
      <c r="A3057" t="s">
        <v>1785</v>
      </c>
    </row>
    <row r="3059" spans="1:1" x14ac:dyDescent="0.25">
      <c r="A3059" t="s">
        <v>1786</v>
      </c>
    </row>
    <row r="3060" spans="1:1" x14ac:dyDescent="0.25">
      <c r="A3060" t="s">
        <v>1787</v>
      </c>
    </row>
    <row r="3061" spans="1:1" x14ac:dyDescent="0.25">
      <c r="A3061" t="s">
        <v>1788</v>
      </c>
    </row>
    <row r="3062" spans="1:1" x14ac:dyDescent="0.25">
      <c r="A3062" t="s">
        <v>1789</v>
      </c>
    </row>
    <row r="3063" spans="1:1" x14ac:dyDescent="0.25">
      <c r="A3063" t="s">
        <v>1790</v>
      </c>
    </row>
    <row r="3065" spans="1:1" x14ac:dyDescent="0.25">
      <c r="A3065" t="s">
        <v>1791</v>
      </c>
    </row>
    <row r="3066" spans="1:1" x14ac:dyDescent="0.25">
      <c r="A3066" t="s">
        <v>1792</v>
      </c>
    </row>
    <row r="3067" spans="1:1" x14ac:dyDescent="0.25">
      <c r="A3067" t="s">
        <v>1793</v>
      </c>
    </row>
    <row r="3068" spans="1:1" x14ac:dyDescent="0.25">
      <c r="A3068" t="s">
        <v>1794</v>
      </c>
    </row>
    <row r="3069" spans="1:1" x14ac:dyDescent="0.25">
      <c r="A3069" t="s">
        <v>1795</v>
      </c>
    </row>
    <row r="3070" spans="1:1" x14ac:dyDescent="0.25">
      <c r="A3070" t="s">
        <v>1796</v>
      </c>
    </row>
    <row r="3071" spans="1:1" x14ac:dyDescent="0.25">
      <c r="A3071" t="s">
        <v>1797</v>
      </c>
    </row>
    <row r="3072" spans="1:1" x14ac:dyDescent="0.25">
      <c r="A3072" t="s">
        <v>1798</v>
      </c>
    </row>
    <row r="3073" spans="1:1" x14ac:dyDescent="0.25">
      <c r="A3073" t="s">
        <v>1799</v>
      </c>
    </row>
    <row r="3074" spans="1:1" x14ac:dyDescent="0.25">
      <c r="A3074" t="s">
        <v>1800</v>
      </c>
    </row>
    <row r="3075" spans="1:1" x14ac:dyDescent="0.25">
      <c r="A3075" t="s">
        <v>1801</v>
      </c>
    </row>
    <row r="3076" spans="1:1" x14ac:dyDescent="0.25">
      <c r="A3076" t="s">
        <v>1802</v>
      </c>
    </row>
    <row r="3077" spans="1:1" x14ac:dyDescent="0.25">
      <c r="A3077" t="s">
        <v>1803</v>
      </c>
    </row>
    <row r="3078" spans="1:1" x14ac:dyDescent="0.25">
      <c r="A3078" t="s">
        <v>1804</v>
      </c>
    </row>
    <row r="3079" spans="1:1" x14ac:dyDescent="0.25">
      <c r="A3079" t="s">
        <v>1805</v>
      </c>
    </row>
    <row r="3080" spans="1:1" x14ac:dyDescent="0.25">
      <c r="A3080" t="s">
        <v>1806</v>
      </c>
    </row>
    <row r="3081" spans="1:1" x14ac:dyDescent="0.25">
      <c r="A3081" t="s">
        <v>1807</v>
      </c>
    </row>
    <row r="3082" spans="1:1" x14ac:dyDescent="0.25">
      <c r="A3082" t="s">
        <v>1808</v>
      </c>
    </row>
    <row r="3083" spans="1:1" x14ac:dyDescent="0.25">
      <c r="A3083" t="s">
        <v>1809</v>
      </c>
    </row>
    <row r="3084" spans="1:1" x14ac:dyDescent="0.25">
      <c r="A3084" t="s">
        <v>1810</v>
      </c>
    </row>
    <row r="3085" spans="1:1" x14ac:dyDescent="0.25">
      <c r="A3085" t="s">
        <v>1811</v>
      </c>
    </row>
    <row r="3086" spans="1:1" x14ac:dyDescent="0.25">
      <c r="A3086" t="s">
        <v>1812</v>
      </c>
    </row>
    <row r="3087" spans="1:1" x14ac:dyDescent="0.25">
      <c r="A3087" t="s">
        <v>1813</v>
      </c>
    </row>
    <row r="3088" spans="1:1" x14ac:dyDescent="0.25">
      <c r="A3088" t="s">
        <v>1814</v>
      </c>
    </row>
    <row r="3089" spans="1:1" x14ac:dyDescent="0.25">
      <c r="A3089" t="s">
        <v>1815</v>
      </c>
    </row>
    <row r="3091" spans="1:1" x14ac:dyDescent="0.25">
      <c r="A3091" t="s">
        <v>1816</v>
      </c>
    </row>
    <row r="3092" spans="1:1" x14ac:dyDescent="0.25">
      <c r="A3092" t="s">
        <v>1817</v>
      </c>
    </row>
    <row r="3093" spans="1:1" x14ac:dyDescent="0.25">
      <c r="A3093" t="s">
        <v>1818</v>
      </c>
    </row>
    <row r="3094" spans="1:1" x14ac:dyDescent="0.25">
      <c r="A3094" t="s">
        <v>1819</v>
      </c>
    </row>
    <row r="3095" spans="1:1" x14ac:dyDescent="0.25">
      <c r="A3095" t="s">
        <v>1820</v>
      </c>
    </row>
    <row r="3096" spans="1:1" x14ac:dyDescent="0.25">
      <c r="A3096" t="s">
        <v>1821</v>
      </c>
    </row>
    <row r="3097" spans="1:1" x14ac:dyDescent="0.25">
      <c r="A3097" t="s">
        <v>1822</v>
      </c>
    </row>
    <row r="3099" spans="1:1" x14ac:dyDescent="0.25">
      <c r="A3099" t="s">
        <v>1823</v>
      </c>
    </row>
    <row r="3100" spans="1:1" x14ac:dyDescent="0.25">
      <c r="A3100" t="s">
        <v>1824</v>
      </c>
    </row>
    <row r="3101" spans="1:1" x14ac:dyDescent="0.25">
      <c r="A3101" t="s">
        <v>1823</v>
      </c>
    </row>
    <row r="3102" spans="1:1" x14ac:dyDescent="0.25">
      <c r="A3102" t="s">
        <v>1825</v>
      </c>
    </row>
    <row r="3104" spans="1:1" x14ac:dyDescent="0.25">
      <c r="A3104" t="s">
        <v>1826</v>
      </c>
    </row>
    <row r="3105" spans="1:1" x14ac:dyDescent="0.25">
      <c r="A3105" t="s">
        <v>1827</v>
      </c>
    </row>
    <row r="3106" spans="1:1" x14ac:dyDescent="0.25">
      <c r="A3106" t="s">
        <v>1828</v>
      </c>
    </row>
    <row r="3107" spans="1:1" x14ac:dyDescent="0.25">
      <c r="A3107" t="s">
        <v>1829</v>
      </c>
    </row>
    <row r="3108" spans="1:1" x14ac:dyDescent="0.25">
      <c r="A3108" t="s">
        <v>1830</v>
      </c>
    </row>
    <row r="3109" spans="1:1" x14ac:dyDescent="0.25">
      <c r="A3109" t="s">
        <v>1831</v>
      </c>
    </row>
    <row r="3110" spans="1:1" x14ac:dyDescent="0.25">
      <c r="A3110" t="s">
        <v>21</v>
      </c>
    </row>
    <row r="3113" spans="1:1" x14ac:dyDescent="0.25">
      <c r="A3113" t="s">
        <v>1832</v>
      </c>
    </row>
    <row r="3114" spans="1:1" x14ac:dyDescent="0.25">
      <c r="A3114" t="s">
        <v>1833</v>
      </c>
    </row>
    <row r="3115" spans="1:1" x14ac:dyDescent="0.25">
      <c r="A3115" t="s">
        <v>1834</v>
      </c>
    </row>
    <row r="3116" spans="1:1" x14ac:dyDescent="0.25">
      <c r="A3116" t="s">
        <v>1835</v>
      </c>
    </row>
    <row r="3117" spans="1:1" x14ac:dyDescent="0.25">
      <c r="A3117" t="s">
        <v>1836</v>
      </c>
    </row>
    <row r="3118" spans="1:1" x14ac:dyDescent="0.25">
      <c r="A3118" t="s">
        <v>1837</v>
      </c>
    </row>
    <row r="3119" spans="1:1" x14ac:dyDescent="0.25">
      <c r="A3119" t="s">
        <v>1838</v>
      </c>
    </row>
    <row r="3120" spans="1:1" x14ac:dyDescent="0.25">
      <c r="A3120" t="s">
        <v>1839</v>
      </c>
    </row>
    <row r="3121" spans="1:1" x14ac:dyDescent="0.25">
      <c r="A3121" t="s">
        <v>1840</v>
      </c>
    </row>
    <row r="3122" spans="1:1" x14ac:dyDescent="0.25">
      <c r="A3122" t="s">
        <v>1841</v>
      </c>
    </row>
    <row r="3123" spans="1:1" x14ac:dyDescent="0.25">
      <c r="A3123" t="s">
        <v>1842</v>
      </c>
    </row>
    <row r="3124" spans="1:1" x14ac:dyDescent="0.25">
      <c r="A3124" t="s">
        <v>1843</v>
      </c>
    </row>
    <row r="3125" spans="1:1" x14ac:dyDescent="0.25">
      <c r="A3125" t="s">
        <v>1844</v>
      </c>
    </row>
    <row r="3126" spans="1:1" x14ac:dyDescent="0.25">
      <c r="A3126" t="s">
        <v>1845</v>
      </c>
    </row>
    <row r="3127" spans="1:1" x14ac:dyDescent="0.25">
      <c r="A3127" t="s">
        <v>1846</v>
      </c>
    </row>
    <row r="3128" spans="1:1" x14ac:dyDescent="0.25">
      <c r="A3128" t="s">
        <v>1847</v>
      </c>
    </row>
    <row r="3129" spans="1:1" x14ac:dyDescent="0.25">
      <c r="A3129" t="s">
        <v>1848</v>
      </c>
    </row>
    <row r="3130" spans="1:1" x14ac:dyDescent="0.25">
      <c r="A3130" t="s">
        <v>1849</v>
      </c>
    </row>
    <row r="3131" spans="1:1" x14ac:dyDescent="0.25">
      <c r="A3131" t="s">
        <v>1850</v>
      </c>
    </row>
    <row r="3132" spans="1:1" x14ac:dyDescent="0.25">
      <c r="A3132" t="s">
        <v>1851</v>
      </c>
    </row>
    <row r="3133" spans="1:1" x14ac:dyDescent="0.25">
      <c r="A3133" t="s">
        <v>1852</v>
      </c>
    </row>
    <row r="3134" spans="1:1" x14ac:dyDescent="0.25">
      <c r="A3134" t="s">
        <v>1853</v>
      </c>
    </row>
    <row r="3135" spans="1:1" x14ac:dyDescent="0.25">
      <c r="A3135" t="s">
        <v>1854</v>
      </c>
    </row>
    <row r="3136" spans="1:1" x14ac:dyDescent="0.25">
      <c r="A3136" t="s">
        <v>1855</v>
      </c>
    </row>
    <row r="3137" spans="1:1" x14ac:dyDescent="0.25">
      <c r="A3137" t="s">
        <v>1856</v>
      </c>
    </row>
    <row r="3138" spans="1:1" x14ac:dyDescent="0.25">
      <c r="A3138" t="s">
        <v>1857</v>
      </c>
    </row>
    <row r="3139" spans="1:1" x14ac:dyDescent="0.25">
      <c r="A3139" t="s">
        <v>1858</v>
      </c>
    </row>
    <row r="3140" spans="1:1" x14ac:dyDescent="0.25">
      <c r="A3140" t="s">
        <v>1859</v>
      </c>
    </row>
    <row r="3141" spans="1:1" x14ac:dyDescent="0.25">
      <c r="A3141" t="s">
        <v>1860</v>
      </c>
    </row>
    <row r="3142" spans="1:1" x14ac:dyDescent="0.25">
      <c r="A3142" t="s">
        <v>1861</v>
      </c>
    </row>
    <row r="3144" spans="1:1" x14ac:dyDescent="0.25">
      <c r="A3144" t="s">
        <v>1862</v>
      </c>
    </row>
    <row r="3145" spans="1:1" x14ac:dyDescent="0.25">
      <c r="A3145" t="s">
        <v>1863</v>
      </c>
    </row>
    <row r="3146" spans="1:1" x14ac:dyDescent="0.25">
      <c r="A3146" t="s">
        <v>1864</v>
      </c>
    </row>
    <row r="3148" spans="1:1" x14ac:dyDescent="0.25">
      <c r="A3148" t="s">
        <v>1865</v>
      </c>
    </row>
    <row r="3149" spans="1:1" x14ac:dyDescent="0.25">
      <c r="A3149" t="s">
        <v>1866</v>
      </c>
    </row>
    <row r="3150" spans="1:1" x14ac:dyDescent="0.25">
      <c r="A3150" t="s">
        <v>1867</v>
      </c>
    </row>
    <row r="3152" spans="1:1" x14ac:dyDescent="0.25">
      <c r="A3152" t="s">
        <v>1868</v>
      </c>
    </row>
    <row r="3154" spans="1:1" x14ac:dyDescent="0.25">
      <c r="A3154" t="s">
        <v>1869</v>
      </c>
    </row>
    <row r="3156" spans="1:1" x14ac:dyDescent="0.25">
      <c r="A3156" t="s">
        <v>1870</v>
      </c>
    </row>
    <row r="3157" spans="1:1" x14ac:dyDescent="0.25">
      <c r="A3157" t="s">
        <v>1871</v>
      </c>
    </row>
    <row r="3158" spans="1:1" x14ac:dyDescent="0.25">
      <c r="A3158" t="s">
        <v>1872</v>
      </c>
    </row>
    <row r="3159" spans="1:1" x14ac:dyDescent="0.25">
      <c r="A3159" t="s">
        <v>1873</v>
      </c>
    </row>
    <row r="3160" spans="1:1" x14ac:dyDescent="0.25">
      <c r="A3160" t="s">
        <v>1874</v>
      </c>
    </row>
    <row r="3161" spans="1:1" x14ac:dyDescent="0.25">
      <c r="A3161" t="s">
        <v>1875</v>
      </c>
    </row>
    <row r="3162" spans="1:1" x14ac:dyDescent="0.25">
      <c r="A3162" t="s">
        <v>1876</v>
      </c>
    </row>
    <row r="3163" spans="1:1" x14ac:dyDescent="0.25">
      <c r="A3163" t="s">
        <v>1877</v>
      </c>
    </row>
    <row r="3164" spans="1:1" x14ac:dyDescent="0.25">
      <c r="A3164" t="s">
        <v>1878</v>
      </c>
    </row>
    <row r="3165" spans="1:1" x14ac:dyDescent="0.25">
      <c r="A3165" t="s">
        <v>1879</v>
      </c>
    </row>
    <row r="3167" spans="1:1" x14ac:dyDescent="0.25">
      <c r="A3167" t="s">
        <v>1880</v>
      </c>
    </row>
    <row r="3168" spans="1:1" x14ac:dyDescent="0.25">
      <c r="A3168" t="s">
        <v>1881</v>
      </c>
    </row>
    <row r="3170" spans="1:1" x14ac:dyDescent="0.25">
      <c r="A3170" t="s">
        <v>1882</v>
      </c>
    </row>
    <row r="3171" spans="1:1" x14ac:dyDescent="0.25">
      <c r="A3171" t="s">
        <v>1883</v>
      </c>
    </row>
    <row r="3172" spans="1:1" x14ac:dyDescent="0.25">
      <c r="A3172" t="s">
        <v>1884</v>
      </c>
    </row>
    <row r="3173" spans="1:1" x14ac:dyDescent="0.25">
      <c r="A3173" t="s">
        <v>1885</v>
      </c>
    </row>
    <row r="3174" spans="1:1" x14ac:dyDescent="0.25">
      <c r="A3174" t="s">
        <v>1886</v>
      </c>
    </row>
    <row r="3175" spans="1:1" x14ac:dyDescent="0.25">
      <c r="A3175" t="s">
        <v>1887</v>
      </c>
    </row>
    <row r="3177" spans="1:1" x14ac:dyDescent="0.25">
      <c r="A3177" t="s">
        <v>1888</v>
      </c>
    </row>
    <row r="3178" spans="1:1" x14ac:dyDescent="0.25">
      <c r="A3178" t="s">
        <v>1889</v>
      </c>
    </row>
    <row r="3180" spans="1:1" x14ac:dyDescent="0.25">
      <c r="A3180" t="s">
        <v>1890</v>
      </c>
    </row>
    <row r="3181" spans="1:1" x14ac:dyDescent="0.25">
      <c r="A3181" t="s">
        <v>1891</v>
      </c>
    </row>
    <row r="3182" spans="1:1" x14ac:dyDescent="0.25">
      <c r="A3182" t="s">
        <v>1892</v>
      </c>
    </row>
    <row r="3183" spans="1:1" x14ac:dyDescent="0.25">
      <c r="A3183" t="s">
        <v>1893</v>
      </c>
    </row>
    <row r="3185" spans="1:1" x14ac:dyDescent="0.25">
      <c r="A3185" t="s">
        <v>1787</v>
      </c>
    </row>
    <row r="3186" spans="1:1" x14ac:dyDescent="0.25">
      <c r="A3186" t="s">
        <v>1894</v>
      </c>
    </row>
    <row r="3187" spans="1:1" x14ac:dyDescent="0.25">
      <c r="A3187" t="s">
        <v>1895</v>
      </c>
    </row>
    <row r="3188" spans="1:1" x14ac:dyDescent="0.25">
      <c r="A3188" t="s">
        <v>1896</v>
      </c>
    </row>
    <row r="3189" spans="1:1" x14ac:dyDescent="0.25">
      <c r="A3189" t="s">
        <v>1897</v>
      </c>
    </row>
    <row r="3190" spans="1:1" x14ac:dyDescent="0.25">
      <c r="A3190" t="s">
        <v>1898</v>
      </c>
    </row>
    <row r="3191" spans="1:1" x14ac:dyDescent="0.25">
      <c r="A3191" t="s">
        <v>1899</v>
      </c>
    </row>
    <row r="3192" spans="1:1" x14ac:dyDescent="0.25">
      <c r="A3192" t="s">
        <v>1900</v>
      </c>
    </row>
    <row r="3194" spans="1:1" x14ac:dyDescent="0.25">
      <c r="A3194" t="s">
        <v>1901</v>
      </c>
    </row>
    <row r="3196" spans="1:1" x14ac:dyDescent="0.25">
      <c r="A3196" t="s">
        <v>1902</v>
      </c>
    </row>
    <row r="3197" spans="1:1" x14ac:dyDescent="0.25">
      <c r="A3197" t="s">
        <v>1903</v>
      </c>
    </row>
    <row r="3199" spans="1:1" x14ac:dyDescent="0.25">
      <c r="A3199" t="s">
        <v>1904</v>
      </c>
    </row>
    <row r="3200" spans="1:1" x14ac:dyDescent="0.25">
      <c r="A3200" t="s">
        <v>1905</v>
      </c>
    </row>
    <row r="3201" spans="1:1" x14ac:dyDescent="0.25">
      <c r="A3201" t="s">
        <v>1906</v>
      </c>
    </row>
    <row r="3203" spans="1:1" x14ac:dyDescent="0.25">
      <c r="A3203" t="s">
        <v>1907</v>
      </c>
    </row>
    <row r="3204" spans="1:1" x14ac:dyDescent="0.25">
      <c r="A3204" t="s">
        <v>1908</v>
      </c>
    </row>
    <row r="3206" spans="1:1" x14ac:dyDescent="0.25">
      <c r="A3206" t="s">
        <v>1826</v>
      </c>
    </row>
    <row r="3207" spans="1:1" x14ac:dyDescent="0.25">
      <c r="A3207" t="s">
        <v>1827</v>
      </c>
    </row>
    <row r="3208" spans="1:1" x14ac:dyDescent="0.25">
      <c r="A3208" t="s">
        <v>1828</v>
      </c>
    </row>
    <row r="3209" spans="1:1" x14ac:dyDescent="0.25">
      <c r="A3209" t="s">
        <v>1829</v>
      </c>
    </row>
    <row r="3210" spans="1:1" x14ac:dyDescent="0.25">
      <c r="A3210" t="s">
        <v>1830</v>
      </c>
    </row>
    <row r="3211" spans="1:1" x14ac:dyDescent="0.25">
      <c r="A3211" t="s">
        <v>1831</v>
      </c>
    </row>
    <row r="3212" spans="1:1" x14ac:dyDescent="0.25">
      <c r="A3212" t="s">
        <v>21</v>
      </c>
    </row>
    <row r="3214" spans="1:1" x14ac:dyDescent="0.25">
      <c r="A3214" t="s">
        <v>1909</v>
      </c>
    </row>
    <row r="3216" spans="1:1" x14ac:dyDescent="0.25">
      <c r="A3216" t="s">
        <v>1910</v>
      </c>
    </row>
    <row r="3217" spans="1:1" x14ac:dyDescent="0.25">
      <c r="A3217" t="s">
        <v>1911</v>
      </c>
    </row>
    <row r="3218" spans="1:1" x14ac:dyDescent="0.25">
      <c r="A3218" t="s">
        <v>1912</v>
      </c>
    </row>
    <row r="3219" spans="1:1" x14ac:dyDescent="0.25">
      <c r="A3219" t="s">
        <v>1913</v>
      </c>
    </row>
    <row r="3220" spans="1:1" x14ac:dyDescent="0.25">
      <c r="A3220" t="s">
        <v>1914</v>
      </c>
    </row>
    <row r="3221" spans="1:1" x14ac:dyDescent="0.25">
      <c r="A3221" t="s">
        <v>1915</v>
      </c>
    </row>
    <row r="3222" spans="1:1" x14ac:dyDescent="0.25">
      <c r="A3222" t="s">
        <v>1916</v>
      </c>
    </row>
    <row r="3223" spans="1:1" x14ac:dyDescent="0.25">
      <c r="A3223" t="s">
        <v>1917</v>
      </c>
    </row>
    <row r="3224" spans="1:1" x14ac:dyDescent="0.25">
      <c r="A3224" t="s">
        <v>1918</v>
      </c>
    </row>
    <row r="3225" spans="1:1" x14ac:dyDescent="0.25">
      <c r="A3225" t="s">
        <v>1919</v>
      </c>
    </row>
    <row r="3226" spans="1:1" x14ac:dyDescent="0.25">
      <c r="A3226" t="s">
        <v>1920</v>
      </c>
    </row>
    <row r="3227" spans="1:1" x14ac:dyDescent="0.25">
      <c r="A3227" t="s">
        <v>1921</v>
      </c>
    </row>
    <row r="3228" spans="1:1" x14ac:dyDescent="0.25">
      <c r="A3228" t="s">
        <v>1922</v>
      </c>
    </row>
    <row r="3229" spans="1:1" x14ac:dyDescent="0.25">
      <c r="A3229" t="s">
        <v>1923</v>
      </c>
    </row>
    <row r="3230" spans="1:1" x14ac:dyDescent="0.25">
      <c r="A3230" t="s">
        <v>1909</v>
      </c>
    </row>
    <row r="3232" spans="1:1" x14ac:dyDescent="0.25">
      <c r="A3232" t="s">
        <v>1810</v>
      </c>
    </row>
    <row r="3233" spans="1:1" x14ac:dyDescent="0.25">
      <c r="A3233" t="s">
        <v>1924</v>
      </c>
    </row>
    <row r="3234" spans="1:1" x14ac:dyDescent="0.25">
      <c r="A3234" t="s">
        <v>1925</v>
      </c>
    </row>
    <row r="3235" spans="1:1" x14ac:dyDescent="0.25">
      <c r="A3235" t="s">
        <v>1926</v>
      </c>
    </row>
    <row r="3236" spans="1:1" x14ac:dyDescent="0.25">
      <c r="A3236" t="s">
        <v>1927</v>
      </c>
    </row>
    <row r="3237" spans="1:1" x14ac:dyDescent="0.25">
      <c r="A3237" t="s">
        <v>1928</v>
      </c>
    </row>
    <row r="3238" spans="1:1" x14ac:dyDescent="0.25">
      <c r="A3238" t="s">
        <v>1929</v>
      </c>
    </row>
    <row r="3239" spans="1:1" x14ac:dyDescent="0.25">
      <c r="A3239" t="s">
        <v>1930</v>
      </c>
    </row>
    <row r="3240" spans="1:1" x14ac:dyDescent="0.25">
      <c r="A3240" t="s">
        <v>1817</v>
      </c>
    </row>
    <row r="3241" spans="1:1" x14ac:dyDescent="0.25">
      <c r="A3241" t="s">
        <v>1818</v>
      </c>
    </row>
    <row r="3245" spans="1:1" x14ac:dyDescent="0.25">
      <c r="A3245" t="s">
        <v>1931</v>
      </c>
    </row>
    <row r="3246" spans="1:1" x14ac:dyDescent="0.25">
      <c r="A3246" t="s">
        <v>1932</v>
      </c>
    </row>
    <row r="3247" spans="1:1" x14ac:dyDescent="0.25">
      <c r="A3247" t="s">
        <v>1933</v>
      </c>
    </row>
    <row r="3248" spans="1:1" x14ac:dyDescent="0.25">
      <c r="A3248" t="s">
        <v>1934</v>
      </c>
    </row>
    <row r="3249" spans="1:1" x14ac:dyDescent="0.25">
      <c r="A3249" t="s">
        <v>1935</v>
      </c>
    </row>
    <row r="3250" spans="1:1" x14ac:dyDescent="0.25">
      <c r="A3250" t="s">
        <v>1936</v>
      </c>
    </row>
    <row r="3251" spans="1:1" x14ac:dyDescent="0.25">
      <c r="A3251" t="s">
        <v>1937</v>
      </c>
    </row>
    <row r="3255" spans="1:1" x14ac:dyDescent="0.25">
      <c r="A3255" t="s">
        <v>1938</v>
      </c>
    </row>
    <row r="3256" spans="1:1" x14ac:dyDescent="0.25">
      <c r="A3256">
        <f>(LEN(A1)-LEN(SUBSTITUTE(A1,B1,"")))</f>
        <v>0</v>
      </c>
    </row>
    <row r="3257" spans="1:1" x14ac:dyDescent="0.25">
      <c r="A3257" t="e">
        <f>(LEN(A1)-LEN(SUBSTITUTE(A1,B1,"")))/LEN(B1)</f>
        <v>#DIV/0!</v>
      </c>
    </row>
    <row r="3258" spans="1:1" x14ac:dyDescent="0.25">
      <c r="A3258" t="s">
        <v>1939</v>
      </c>
    </row>
    <row r="3259" spans="1:1" x14ac:dyDescent="0.25">
      <c r="A3259" t="e">
        <f>RIGHT(A2,LEN(A2)-FIND(",",A2))</f>
        <v>#VALUE!</v>
      </c>
    </row>
    <row r="3260" spans="1:1" x14ac:dyDescent="0.25">
      <c r="A3260" t="e">
        <f>LEFT(A2,FIND(",",A2)-1)</f>
        <v>#VALUE!</v>
      </c>
    </row>
    <row r="3261" spans="1:1" x14ac:dyDescent="0.25">
      <c r="A3261" t="s">
        <v>1940</v>
      </c>
    </row>
    <row r="3262" spans="1:1" x14ac:dyDescent="0.25">
      <c r="A3262" t="str">
        <f>TRIM(A1)</f>
        <v>Second Highest salary?</v>
      </c>
    </row>
    <row r="3263" spans="1:1" x14ac:dyDescent="0.25">
      <c r="A3263">
        <f>LEN(TRIM(A1))</f>
        <v>22</v>
      </c>
    </row>
    <row r="3264" spans="1:1" x14ac:dyDescent="0.25">
      <c r="A3264" t="str">
        <f>SUBSTITUTE(A1," ","")</f>
        <v>SecondHighestsalary?</v>
      </c>
    </row>
    <row r="3265" spans="1:1" x14ac:dyDescent="0.25">
      <c r="A3265">
        <f>LEN(SUBSTITUTE(A1," ",""))</f>
        <v>20</v>
      </c>
    </row>
    <row r="3266" spans="1:1" x14ac:dyDescent="0.25">
      <c r="A3266">
        <f>LEN(TRIM(A1))-LEN(SUBSTITUTE(A1," ",""))+1</f>
        <v>3</v>
      </c>
    </row>
    <row r="3267" spans="1:1" x14ac:dyDescent="0.25">
      <c r="A3267" t="s">
        <v>1941</v>
      </c>
    </row>
    <row r="3268" spans="1:1" x14ac:dyDescent="0.25">
      <c r="A3268" t="s">
        <v>1942</v>
      </c>
    </row>
    <row r="3269" spans="1:1" x14ac:dyDescent="0.25">
      <c r="A3269" t="b">
        <f>A1=B1</f>
        <v>0</v>
      </c>
    </row>
    <row r="3270" spans="1:1" x14ac:dyDescent="0.25">
      <c r="A3270" t="s">
        <v>1943</v>
      </c>
    </row>
    <row r="3271" spans="1:1" x14ac:dyDescent="0.25">
      <c r="A3271" t="e">
        <f>FIND("EXCEL",A1)</f>
        <v>#VALUE!</v>
      </c>
    </row>
    <row r="3272" spans="1:1" x14ac:dyDescent="0.25">
      <c r="A3272" t="e">
        <f>SEARCH("EXCEL",A1)</f>
        <v>#VALUE!</v>
      </c>
    </row>
    <row r="3273" spans="1:1" x14ac:dyDescent="0.25">
      <c r="A3273" t="s">
        <v>1944</v>
      </c>
    </row>
    <row r="3274" spans="1:1" x14ac:dyDescent="0.25">
      <c r="A3274" t="s">
        <v>1945</v>
      </c>
    </row>
    <row r="3275" spans="1:1" x14ac:dyDescent="0.25">
      <c r="A3275" t="e">
        <f>FIND("o",A1,6)</f>
        <v>#VALUE!</v>
      </c>
    </row>
    <row r="3276" spans="1:1" x14ac:dyDescent="0.25">
      <c r="A3276" t="str">
        <f>SUBSTITUTE(A1,"2013","2016")</f>
        <v>Second Highest salary?</v>
      </c>
    </row>
    <row r="3277" spans="1:1" x14ac:dyDescent="0.25">
      <c r="A3277" t="str">
        <f>SUBSTITUTE(A1,"2013","2016",2)</f>
        <v>Second Highest salary?</v>
      </c>
    </row>
    <row r="3278" spans="1:1" x14ac:dyDescent="0.25">
      <c r="A3278" t="str">
        <f>REPLACE(A1,1,3,"C")</f>
        <v>Cond Highest salary?</v>
      </c>
    </row>
    <row r="3279" spans="1:1" x14ac:dyDescent="0.25">
      <c r="A3279" t="s">
        <v>1946</v>
      </c>
    </row>
    <row r="3281" spans="1:1" x14ac:dyDescent="0.25">
      <c r="A3281" t="s">
        <v>1947</v>
      </c>
    </row>
    <row r="3282" spans="1:1" x14ac:dyDescent="0.25">
      <c r="A3282" t="s">
        <v>1948</v>
      </c>
    </row>
    <row r="3283" spans="1:1" x14ac:dyDescent="0.25">
      <c r="A3283" t="s">
        <v>1949</v>
      </c>
    </row>
    <row r="3284" spans="1:1" x14ac:dyDescent="0.25">
      <c r="A3284" t="s">
        <v>1950</v>
      </c>
    </row>
    <row r="3285" spans="1:1" x14ac:dyDescent="0.25">
      <c r="A3285" t="s">
        <v>1951</v>
      </c>
    </row>
    <row r="3286" spans="1:1" x14ac:dyDescent="0.25">
      <c r="A3286" t="s">
        <v>1952</v>
      </c>
    </row>
    <row r="3287" spans="1:1" x14ac:dyDescent="0.25">
      <c r="A3287" t="s">
        <v>1953</v>
      </c>
    </row>
    <row r="3288" spans="1:1" x14ac:dyDescent="0.25">
      <c r="A3288" t="s">
        <v>1954</v>
      </c>
    </row>
    <row r="3289" spans="1:1" x14ac:dyDescent="0.25">
      <c r="A3289" t="s">
        <v>1955</v>
      </c>
    </row>
    <row r="3290" spans="1:1" x14ac:dyDescent="0.25">
      <c r="A3290" t="s">
        <v>1956</v>
      </c>
    </row>
    <row r="3291" spans="1:1" x14ac:dyDescent="0.25">
      <c r="A3291" t="s">
        <v>1957</v>
      </c>
    </row>
    <row r="3292" spans="1:1" x14ac:dyDescent="0.25">
      <c r="A3292" t="s">
        <v>1958</v>
      </c>
    </row>
    <row r="3293" spans="1:1" x14ac:dyDescent="0.25">
      <c r="A3293" t="s">
        <v>1959</v>
      </c>
    </row>
    <row r="3294" spans="1:1" x14ac:dyDescent="0.25">
      <c r="A3294" t="s">
        <v>1960</v>
      </c>
    </row>
    <row r="3295" spans="1:1" x14ac:dyDescent="0.25">
      <c r="A3295" t="s">
        <v>1961</v>
      </c>
    </row>
    <row r="3296" spans="1:1" x14ac:dyDescent="0.25">
      <c r="A3296" t="s">
        <v>1962</v>
      </c>
    </row>
    <row r="3297" spans="1:1" x14ac:dyDescent="0.25">
      <c r="A3297" t="s">
        <v>1963</v>
      </c>
    </row>
    <row r="3298" spans="1:1" x14ac:dyDescent="0.25">
      <c r="A3298" t="s">
        <v>1964</v>
      </c>
    </row>
    <row r="3299" spans="1:1" x14ac:dyDescent="0.25">
      <c r="A3299" t="s">
        <v>1965</v>
      </c>
    </row>
    <row r="3300" spans="1:1" x14ac:dyDescent="0.25">
      <c r="A3300" t="s">
        <v>1966</v>
      </c>
    </row>
    <row r="3303" spans="1:1" x14ac:dyDescent="0.25">
      <c r="A3303" t="s">
        <v>1967</v>
      </c>
    </row>
    <row r="3304" spans="1:1" x14ac:dyDescent="0.25">
      <c r="A3304" t="s">
        <v>1968</v>
      </c>
    </row>
    <row r="3305" spans="1:1" x14ac:dyDescent="0.25">
      <c r="A3305" t="s">
        <v>1969</v>
      </c>
    </row>
    <row r="3307" spans="1:1" x14ac:dyDescent="0.25">
      <c r="A3307" t="s">
        <v>1970</v>
      </c>
    </row>
    <row r="3309" spans="1:1" x14ac:dyDescent="0.25">
      <c r="A3309" t="s">
        <v>1971</v>
      </c>
    </row>
    <row r="3310" spans="1:1" x14ac:dyDescent="0.25">
      <c r="A3310" t="s">
        <v>1972</v>
      </c>
    </row>
    <row r="3311" spans="1:1" x14ac:dyDescent="0.25">
      <c r="A3311" t="s">
        <v>1973</v>
      </c>
    </row>
    <row r="3312" spans="1:1" x14ac:dyDescent="0.25">
      <c r="A3312" t="s">
        <v>1974</v>
      </c>
    </row>
    <row r="3313" spans="1:1" x14ac:dyDescent="0.25">
      <c r="A3313" t="s">
        <v>1975</v>
      </c>
    </row>
    <row r="3314" spans="1:1" x14ac:dyDescent="0.25">
      <c r="A3314" t="s">
        <v>1976</v>
      </c>
    </row>
    <row r="3315" spans="1:1" x14ac:dyDescent="0.25">
      <c r="A3315" t="s">
        <v>1977</v>
      </c>
    </row>
    <row r="3316" spans="1:1" x14ac:dyDescent="0.25">
      <c r="A3316" t="s">
        <v>1978</v>
      </c>
    </row>
    <row r="3317" spans="1:1" x14ac:dyDescent="0.25">
      <c r="A3317" t="s">
        <v>1979</v>
      </c>
    </row>
    <row r="3318" spans="1:1" x14ac:dyDescent="0.25">
      <c r="A3318" t="s">
        <v>1980</v>
      </c>
    </row>
    <row r="3319" spans="1:1" x14ac:dyDescent="0.25">
      <c r="A3319" t="s">
        <v>1981</v>
      </c>
    </row>
    <row r="3320" spans="1:1" x14ac:dyDescent="0.25">
      <c r="A3320" t="s">
        <v>1982</v>
      </c>
    </row>
    <row r="3321" spans="1:1" x14ac:dyDescent="0.25">
      <c r="A3321" t="s">
        <v>1983</v>
      </c>
    </row>
    <row r="3322" spans="1:1" x14ac:dyDescent="0.25">
      <c r="A3322" t="s">
        <v>1984</v>
      </c>
    </row>
    <row r="3323" spans="1:1" x14ac:dyDescent="0.25">
      <c r="A3323" t="s">
        <v>1985</v>
      </c>
    </row>
    <row r="3324" spans="1:1" x14ac:dyDescent="0.25">
      <c r="A3324" t="s">
        <v>1986</v>
      </c>
    </row>
    <row r="3325" spans="1:1" x14ac:dyDescent="0.25">
      <c r="A3325" t="s">
        <v>1987</v>
      </c>
    </row>
    <row r="3326" spans="1:1" x14ac:dyDescent="0.25">
      <c r="A3326" t="s">
        <v>1988</v>
      </c>
    </row>
    <row r="3327" spans="1:1" x14ac:dyDescent="0.25">
      <c r="A3327" t="s">
        <v>1989</v>
      </c>
    </row>
    <row r="3328" spans="1:1" x14ac:dyDescent="0.25">
      <c r="A3328" t="s">
        <v>1990</v>
      </c>
    </row>
    <row r="3329" spans="1:1" x14ac:dyDescent="0.25">
      <c r="A3329" t="s">
        <v>1991</v>
      </c>
    </row>
    <row r="3330" spans="1:1" x14ac:dyDescent="0.25">
      <c r="A3330" t="s">
        <v>1992</v>
      </c>
    </row>
    <row r="3331" spans="1:1" x14ac:dyDescent="0.25">
      <c r="A3331" t="s">
        <v>1993</v>
      </c>
    </row>
    <row r="3332" spans="1:1" x14ac:dyDescent="0.25">
      <c r="A3332" t="s">
        <v>1994</v>
      </c>
    </row>
    <row r="3333" spans="1:1" x14ac:dyDescent="0.25">
      <c r="A3333" t="s">
        <v>1995</v>
      </c>
    </row>
    <row r="3334" spans="1:1" x14ac:dyDescent="0.25">
      <c r="A3334" t="s">
        <v>1996</v>
      </c>
    </row>
    <row r="3335" spans="1:1" x14ac:dyDescent="0.25">
      <c r="A3335" t="s">
        <v>1997</v>
      </c>
    </row>
    <row r="3336" spans="1:1" x14ac:dyDescent="0.25">
      <c r="A3336" t="s">
        <v>1998</v>
      </c>
    </row>
    <row r="3337" spans="1:1" x14ac:dyDescent="0.25">
      <c r="A3337" t="s">
        <v>1999</v>
      </c>
    </row>
    <row r="3338" spans="1:1" x14ac:dyDescent="0.25">
      <c r="A3338" t="s">
        <v>2000</v>
      </c>
    </row>
    <row r="3339" spans="1:1" x14ac:dyDescent="0.25">
      <c r="A3339" t="s">
        <v>2001</v>
      </c>
    </row>
    <row r="3340" spans="1:1" x14ac:dyDescent="0.25">
      <c r="A3340" t="s">
        <v>2002</v>
      </c>
    </row>
    <row r="3341" spans="1:1" x14ac:dyDescent="0.25">
      <c r="A3341" t="s">
        <v>2003</v>
      </c>
    </row>
    <row r="3343" spans="1:1" x14ac:dyDescent="0.25">
      <c r="A3343" t="s">
        <v>2004</v>
      </c>
    </row>
    <row r="3344" spans="1:1" x14ac:dyDescent="0.25">
      <c r="A3344" t="s">
        <v>2005</v>
      </c>
    </row>
    <row r="3345" spans="1:1" x14ac:dyDescent="0.25">
      <c r="A3345" t="s">
        <v>2006</v>
      </c>
    </row>
    <row r="3346" spans="1:1" x14ac:dyDescent="0.25">
      <c r="A3346" t="s">
        <v>2007</v>
      </c>
    </row>
    <row r="3348" spans="1:1" x14ac:dyDescent="0.25">
      <c r="A3348" t="s">
        <v>2008</v>
      </c>
    </row>
    <row r="3349" spans="1:1" x14ac:dyDescent="0.25">
      <c r="A3349" t="s">
        <v>2009</v>
      </c>
    </row>
    <row r="3350" spans="1:1" x14ac:dyDescent="0.25">
      <c r="A3350" t="s">
        <v>2010</v>
      </c>
    </row>
    <row r="3351" spans="1:1" x14ac:dyDescent="0.25">
      <c r="A3351" t="s">
        <v>2011</v>
      </c>
    </row>
    <row r="3352" spans="1:1" x14ac:dyDescent="0.25">
      <c r="A3352" t="s">
        <v>2012</v>
      </c>
    </row>
    <row r="3353" spans="1:1" x14ac:dyDescent="0.25">
      <c r="A3353" t="s">
        <v>2013</v>
      </c>
    </row>
    <row r="3354" spans="1:1" x14ac:dyDescent="0.25">
      <c r="A3354" t="s">
        <v>2014</v>
      </c>
    </row>
    <row r="3355" spans="1:1" x14ac:dyDescent="0.25">
      <c r="A3355" t="s">
        <v>2015</v>
      </c>
    </row>
    <row r="3356" spans="1:1" x14ac:dyDescent="0.25">
      <c r="A3356" t="s">
        <v>2016</v>
      </c>
    </row>
    <row r="3357" spans="1:1" x14ac:dyDescent="0.25">
      <c r="A3357" t="s">
        <v>2017</v>
      </c>
    </row>
    <row r="3358" spans="1:1" x14ac:dyDescent="0.25">
      <c r="A3358" t="s">
        <v>2018</v>
      </c>
    </row>
    <row r="3359" spans="1:1" x14ac:dyDescent="0.25">
      <c r="A3359" t="s">
        <v>2019</v>
      </c>
    </row>
    <row r="3360" spans="1:1" x14ac:dyDescent="0.25">
      <c r="A3360" t="s">
        <v>2020</v>
      </c>
    </row>
    <row r="3361" spans="1:1" x14ac:dyDescent="0.25">
      <c r="A3361" t="s">
        <v>2021</v>
      </c>
    </row>
    <row r="3362" spans="1:1" x14ac:dyDescent="0.25">
      <c r="A3362" t="s">
        <v>2022</v>
      </c>
    </row>
    <row r="3363" spans="1:1" x14ac:dyDescent="0.25">
      <c r="A3363" t="s">
        <v>2023</v>
      </c>
    </row>
    <row r="3364" spans="1:1" x14ac:dyDescent="0.25">
      <c r="A3364" t="s">
        <v>2024</v>
      </c>
    </row>
    <row r="3365" spans="1:1" x14ac:dyDescent="0.25">
      <c r="A3365" t="s">
        <v>2025</v>
      </c>
    </row>
    <row r="3366" spans="1:1" x14ac:dyDescent="0.25">
      <c r="A3366" t="s">
        <v>2026</v>
      </c>
    </row>
    <row r="3367" spans="1:1" x14ac:dyDescent="0.25">
      <c r="A3367" t="s">
        <v>2027</v>
      </c>
    </row>
    <row r="3368" spans="1:1" x14ac:dyDescent="0.25">
      <c r="A3368" t="s">
        <v>2028</v>
      </c>
    </row>
    <row r="3369" spans="1:1" x14ac:dyDescent="0.25">
      <c r="A3369" t="s">
        <v>2029</v>
      </c>
    </row>
    <row r="3370" spans="1:1" x14ac:dyDescent="0.25">
      <c r="A3370" t="s">
        <v>2030</v>
      </c>
    </row>
    <row r="3371" spans="1:1" x14ac:dyDescent="0.25">
      <c r="A3371" t="s">
        <v>2031</v>
      </c>
    </row>
    <row r="3372" spans="1:1" x14ac:dyDescent="0.25">
      <c r="A3372" t="s">
        <v>2032</v>
      </c>
    </row>
    <row r="3373" spans="1:1" x14ac:dyDescent="0.25">
      <c r="A3373" t="s">
        <v>2033</v>
      </c>
    </row>
    <row r="3374" spans="1:1" x14ac:dyDescent="0.25">
      <c r="A3374" t="s">
        <v>2034</v>
      </c>
    </row>
    <row r="3375" spans="1:1" x14ac:dyDescent="0.25">
      <c r="A3375" t="s">
        <v>2035</v>
      </c>
    </row>
    <row r="3376" spans="1:1" x14ac:dyDescent="0.25">
      <c r="A3376" t="s">
        <v>2036</v>
      </c>
    </row>
    <row r="3377" spans="1:1" x14ac:dyDescent="0.25">
      <c r="A3377" t="s">
        <v>2037</v>
      </c>
    </row>
    <row r="3378" spans="1:1" x14ac:dyDescent="0.25">
      <c r="A3378" t="s">
        <v>2038</v>
      </c>
    </row>
    <row r="3379" spans="1:1" x14ac:dyDescent="0.25">
      <c r="A3379" t="s">
        <v>705</v>
      </c>
    </row>
    <row r="3380" spans="1:1" x14ac:dyDescent="0.25">
      <c r="A3380" t="s">
        <v>2039</v>
      </c>
    </row>
    <row r="3381" spans="1:1" x14ac:dyDescent="0.25">
      <c r="A3381" t="s">
        <v>2040</v>
      </c>
    </row>
    <row r="3382" spans="1:1" x14ac:dyDescent="0.25">
      <c r="A3382" t="s">
        <v>2041</v>
      </c>
    </row>
    <row r="3383" spans="1:1" x14ac:dyDescent="0.25">
      <c r="A3383" t="s">
        <v>2042</v>
      </c>
    </row>
    <row r="3384" spans="1:1" x14ac:dyDescent="0.25">
      <c r="A3384" t="s">
        <v>2043</v>
      </c>
    </row>
    <row r="3385" spans="1:1" x14ac:dyDescent="0.25">
      <c r="A3385" t="s">
        <v>2044</v>
      </c>
    </row>
    <row r="3386" spans="1:1" x14ac:dyDescent="0.25">
      <c r="A3386" t="s">
        <v>707</v>
      </c>
    </row>
    <row r="3387" spans="1:1" x14ac:dyDescent="0.25">
      <c r="A3387" t="s">
        <v>2043</v>
      </c>
    </row>
    <row r="3388" spans="1:1" x14ac:dyDescent="0.25">
      <c r="A3388" t="s">
        <v>2045</v>
      </c>
    </row>
    <row r="3389" spans="1:1" x14ac:dyDescent="0.25">
      <c r="A3389" t="s">
        <v>2046</v>
      </c>
    </row>
    <row r="3390" spans="1:1" x14ac:dyDescent="0.25">
      <c r="A3390" t="s">
        <v>2047</v>
      </c>
    </row>
    <row r="3391" spans="1:1" x14ac:dyDescent="0.25">
      <c r="A3391" t="s">
        <v>2048</v>
      </c>
    </row>
    <row r="3392" spans="1:1" x14ac:dyDescent="0.25">
      <c r="A3392" t="s">
        <v>2049</v>
      </c>
    </row>
    <row r="3393" spans="1:1" x14ac:dyDescent="0.25">
      <c r="A3393" t="s">
        <v>2050</v>
      </c>
    </row>
    <row r="3394" spans="1:1" x14ac:dyDescent="0.25">
      <c r="A3394" t="s">
        <v>2051</v>
      </c>
    </row>
    <row r="3395" spans="1:1" x14ac:dyDescent="0.25">
      <c r="A3395" t="s">
        <v>2052</v>
      </c>
    </row>
    <row r="3396" spans="1:1" x14ac:dyDescent="0.25">
      <c r="A3396" t="s">
        <v>2053</v>
      </c>
    </row>
    <row r="3397" spans="1:1" x14ac:dyDescent="0.25">
      <c r="A3397" t="s">
        <v>2054</v>
      </c>
    </row>
    <row r="3398" spans="1:1" x14ac:dyDescent="0.25">
      <c r="A3398" t="s">
        <v>2055</v>
      </c>
    </row>
    <row r="3399" spans="1:1" x14ac:dyDescent="0.25">
      <c r="A3399" t="s">
        <v>2056</v>
      </c>
    </row>
    <row r="3401" spans="1:1" x14ac:dyDescent="0.25">
      <c r="A3401" t="s">
        <v>2057</v>
      </c>
    </row>
    <row r="3402" spans="1:1" x14ac:dyDescent="0.25">
      <c r="A3402" t="s">
        <v>2058</v>
      </c>
    </row>
    <row r="3403" spans="1:1" x14ac:dyDescent="0.25">
      <c r="A3403" t="s">
        <v>2059</v>
      </c>
    </row>
    <row r="3404" spans="1:1" x14ac:dyDescent="0.25">
      <c r="A3404" t="s">
        <v>2060</v>
      </c>
    </row>
    <row r="3405" spans="1:1" x14ac:dyDescent="0.25">
      <c r="A3405" t="s">
        <v>2061</v>
      </c>
    </row>
    <row r="3406" spans="1:1" x14ac:dyDescent="0.25">
      <c r="A3406" t="s">
        <v>2062</v>
      </c>
    </row>
    <row r="3407" spans="1:1" x14ac:dyDescent="0.25">
      <c r="A3407" t="s">
        <v>2045</v>
      </c>
    </row>
    <row r="3408" spans="1:1" x14ac:dyDescent="0.25">
      <c r="A3408" t="s">
        <v>2063</v>
      </c>
    </row>
    <row r="3409" spans="1:1" x14ac:dyDescent="0.25">
      <c r="A3409" t="s">
        <v>2064</v>
      </c>
    </row>
    <row r="3410" spans="1:1" x14ac:dyDescent="0.25">
      <c r="A3410" t="s">
        <v>2065</v>
      </c>
    </row>
    <row r="3411" spans="1:1" x14ac:dyDescent="0.25">
      <c r="A3411" t="s">
        <v>2012</v>
      </c>
    </row>
    <row r="3412" spans="1:1" x14ac:dyDescent="0.25">
      <c r="A3412" t="s">
        <v>2013</v>
      </c>
    </row>
    <row r="3413" spans="1:1" x14ac:dyDescent="0.25">
      <c r="A3413" t="s">
        <v>2066</v>
      </c>
    </row>
    <row r="3414" spans="1:1" x14ac:dyDescent="0.25">
      <c r="A3414" t="s">
        <v>2067</v>
      </c>
    </row>
    <row r="3415" spans="1:1" x14ac:dyDescent="0.25">
      <c r="A3415" t="s">
        <v>2068</v>
      </c>
    </row>
    <row r="3418" spans="1:1" x14ac:dyDescent="0.25">
      <c r="A3418" t="s">
        <v>2069</v>
      </c>
    </row>
    <row r="3419" spans="1:1" x14ac:dyDescent="0.25">
      <c r="A3419" t="s">
        <v>2070</v>
      </c>
    </row>
    <row r="3420" spans="1:1" x14ac:dyDescent="0.25">
      <c r="A3420" t="s">
        <v>2071</v>
      </c>
    </row>
    <row r="3421" spans="1:1" x14ac:dyDescent="0.25">
      <c r="A3421" t="s">
        <v>2072</v>
      </c>
    </row>
    <row r="3422" spans="1:1" x14ac:dyDescent="0.25">
      <c r="A3422" t="s">
        <v>2073</v>
      </c>
    </row>
    <row r="3423" spans="1:1" x14ac:dyDescent="0.25">
      <c r="A3423" t="s">
        <v>2074</v>
      </c>
    </row>
    <row r="3424" spans="1:1" x14ac:dyDescent="0.25">
      <c r="A3424" t="s">
        <v>2075</v>
      </c>
    </row>
    <row r="3425" spans="1:1" x14ac:dyDescent="0.25">
      <c r="A3425" t="s">
        <v>2076</v>
      </c>
    </row>
    <row r="3426" spans="1:1" x14ac:dyDescent="0.25">
      <c r="A3426" t="s">
        <v>2077</v>
      </c>
    </row>
    <row r="3427" spans="1:1" x14ac:dyDescent="0.25">
      <c r="A3427" t="s">
        <v>2078</v>
      </c>
    </row>
    <row r="3428" spans="1:1" x14ac:dyDescent="0.25">
      <c r="A3428" t="s">
        <v>2079</v>
      </c>
    </row>
    <row r="3429" spans="1:1" x14ac:dyDescent="0.25">
      <c r="A3429" t="s">
        <v>2080</v>
      </c>
    </row>
    <row r="3430" spans="1:1" x14ac:dyDescent="0.25">
      <c r="A3430" t="s">
        <v>2081</v>
      </c>
    </row>
    <row r="3431" spans="1:1" x14ac:dyDescent="0.25">
      <c r="A3431" t="s">
        <v>2082</v>
      </c>
    </row>
    <row r="3432" spans="1:1" x14ac:dyDescent="0.25">
      <c r="A3432" t="s">
        <v>2083</v>
      </c>
    </row>
    <row r="3433" spans="1:1" x14ac:dyDescent="0.25">
      <c r="A3433" t="s">
        <v>2084</v>
      </c>
    </row>
    <row r="3434" spans="1:1" x14ac:dyDescent="0.25">
      <c r="A3434" t="s">
        <v>2085</v>
      </c>
    </row>
    <row r="3435" spans="1:1" x14ac:dyDescent="0.25">
      <c r="A3435" t="s">
        <v>2086</v>
      </c>
    </row>
    <row r="3437" spans="1:1" x14ac:dyDescent="0.25">
      <c r="A3437" t="s">
        <v>2087</v>
      </c>
    </row>
    <row r="3439" spans="1:1" x14ac:dyDescent="0.25">
      <c r="A3439" t="s">
        <v>2088</v>
      </c>
    </row>
    <row r="3440" spans="1:1" x14ac:dyDescent="0.25">
      <c r="A3440" t="s">
        <v>2089</v>
      </c>
    </row>
    <row r="3441" spans="1:1" x14ac:dyDescent="0.25">
      <c r="A3441" t="s">
        <v>2090</v>
      </c>
    </row>
    <row r="3442" spans="1:1" x14ac:dyDescent="0.25">
      <c r="A3442" t="s">
        <v>2091</v>
      </c>
    </row>
    <row r="3443" spans="1:1" x14ac:dyDescent="0.25">
      <c r="A3443" t="s">
        <v>2092</v>
      </c>
    </row>
    <row r="3444" spans="1:1" x14ac:dyDescent="0.25">
      <c r="A3444" t="s">
        <v>2093</v>
      </c>
    </row>
    <row r="3445" spans="1:1" x14ac:dyDescent="0.25">
      <c r="A3445" t="s">
        <v>2094</v>
      </c>
    </row>
    <row r="3446" spans="1:1" x14ac:dyDescent="0.25">
      <c r="A3446" t="s">
        <v>2095</v>
      </c>
    </row>
    <row r="3448" spans="1:1" x14ac:dyDescent="0.25">
      <c r="A3448" t="s">
        <v>2096</v>
      </c>
    </row>
    <row r="3449" spans="1:1" x14ac:dyDescent="0.25">
      <c r="A3449" t="s">
        <v>2097</v>
      </c>
    </row>
    <row r="3450" spans="1:1" x14ac:dyDescent="0.25">
      <c r="A3450" t="s">
        <v>2098</v>
      </c>
    </row>
    <row r="3451" spans="1:1" x14ac:dyDescent="0.25">
      <c r="A3451" t="s">
        <v>2099</v>
      </c>
    </row>
    <row r="3452" spans="1:1" x14ac:dyDescent="0.25">
      <c r="A3452" t="s">
        <v>2100</v>
      </c>
    </row>
    <row r="3453" spans="1:1" x14ac:dyDescent="0.25">
      <c r="A3453" t="s">
        <v>2101</v>
      </c>
    </row>
    <row r="3454" spans="1:1" x14ac:dyDescent="0.25">
      <c r="A3454" t="s">
        <v>2102</v>
      </c>
    </row>
    <row r="3455" spans="1:1" x14ac:dyDescent="0.25">
      <c r="A3455" t="s">
        <v>306</v>
      </c>
    </row>
    <row r="3456" spans="1:1" x14ac:dyDescent="0.25">
      <c r="A3456" t="s">
        <v>2103</v>
      </c>
    </row>
    <row r="3457" spans="1:1" x14ac:dyDescent="0.25">
      <c r="A3457" t="s">
        <v>2104</v>
      </c>
    </row>
    <row r="3458" spans="1:1" x14ac:dyDescent="0.25">
      <c r="A3458" t="s">
        <v>2101</v>
      </c>
    </row>
    <row r="3459" spans="1:1" x14ac:dyDescent="0.25">
      <c r="A3459" t="s">
        <v>2105</v>
      </c>
    </row>
    <row r="3460" spans="1:1" x14ac:dyDescent="0.25">
      <c r="A3460" t="s">
        <v>306</v>
      </c>
    </row>
    <row r="3461" spans="1:1" x14ac:dyDescent="0.25">
      <c r="A3461" t="s">
        <v>37</v>
      </c>
    </row>
    <row r="3462" spans="1:1" x14ac:dyDescent="0.25">
      <c r="A3462" t="s">
        <v>2106</v>
      </c>
    </row>
    <row r="3463" spans="1:1" x14ac:dyDescent="0.25">
      <c r="A3463" t="s">
        <v>2107</v>
      </c>
    </row>
    <row r="3464" spans="1:1" x14ac:dyDescent="0.25">
      <c r="A3464" t="s">
        <v>2108</v>
      </c>
    </row>
    <row r="3465" spans="1:1" x14ac:dyDescent="0.25">
      <c r="A3465" t="s">
        <v>2109</v>
      </c>
    </row>
    <row r="3467" spans="1:1" x14ac:dyDescent="0.25">
      <c r="A3467" t="s">
        <v>2110</v>
      </c>
    </row>
    <row r="3469" spans="1:1" x14ac:dyDescent="0.25">
      <c r="A3469" t="s">
        <v>2111</v>
      </c>
    </row>
    <row r="3470" spans="1:1" x14ac:dyDescent="0.25">
      <c r="A3470" t="s">
        <v>2112</v>
      </c>
    </row>
    <row r="3471" spans="1:1" x14ac:dyDescent="0.25">
      <c r="A3471" t="s">
        <v>2113</v>
      </c>
    </row>
    <row r="3472" spans="1:1" x14ac:dyDescent="0.25">
      <c r="A3472" t="s">
        <v>2114</v>
      </c>
    </row>
    <row r="3474" spans="1:1" x14ac:dyDescent="0.25">
      <c r="A3474" t="s">
        <v>2115</v>
      </c>
    </row>
    <row r="3475" spans="1:1" x14ac:dyDescent="0.25">
      <c r="A3475" t="s">
        <v>2116</v>
      </c>
    </row>
    <row r="3476" spans="1:1" x14ac:dyDescent="0.25">
      <c r="A3476" t="s">
        <v>2117</v>
      </c>
    </row>
    <row r="3478" spans="1:1" x14ac:dyDescent="0.25">
      <c r="A3478" t="s">
        <v>2076</v>
      </c>
    </row>
    <row r="3480" spans="1:1" x14ac:dyDescent="0.25">
      <c r="A3480" t="s">
        <v>2118</v>
      </c>
    </row>
    <row r="3482" spans="1:1" x14ac:dyDescent="0.25">
      <c r="A3482" t="s">
        <v>2119</v>
      </c>
    </row>
    <row r="3484" spans="1:1" x14ac:dyDescent="0.25">
      <c r="A3484" t="s">
        <v>2120</v>
      </c>
    </row>
    <row r="3485" spans="1:1" x14ac:dyDescent="0.25">
      <c r="A3485" t="s">
        <v>2121</v>
      </c>
    </row>
    <row r="3486" spans="1:1" x14ac:dyDescent="0.25">
      <c r="A3486" t="s">
        <v>2122</v>
      </c>
    </row>
    <row r="3488" spans="1:1" x14ac:dyDescent="0.25">
      <c r="A3488" t="s">
        <v>2123</v>
      </c>
    </row>
    <row r="3489" spans="1:1" x14ac:dyDescent="0.25">
      <c r="A3489" t="s">
        <v>2124</v>
      </c>
    </row>
    <row r="3490" spans="1:1" x14ac:dyDescent="0.25">
      <c r="A3490" t="s">
        <v>2125</v>
      </c>
    </row>
    <row r="3491" spans="1:1" x14ac:dyDescent="0.25">
      <c r="A3491" t="s">
        <v>2126</v>
      </c>
    </row>
    <row r="3492" spans="1:1" x14ac:dyDescent="0.25">
      <c r="A3492" t="s">
        <v>2127</v>
      </c>
    </row>
    <row r="3493" spans="1:1" x14ac:dyDescent="0.25">
      <c r="A3493" t="s">
        <v>2128</v>
      </c>
    </row>
    <row r="3494" spans="1:1" x14ac:dyDescent="0.25">
      <c r="A3494" t="s">
        <v>2129</v>
      </c>
    </row>
    <row r="3495" spans="1:1" x14ac:dyDescent="0.25">
      <c r="A3495" t="s">
        <v>2130</v>
      </c>
    </row>
    <row r="3497" spans="1:1" x14ac:dyDescent="0.25">
      <c r="A3497" t="s">
        <v>2131</v>
      </c>
    </row>
    <row r="3498" spans="1:1" x14ac:dyDescent="0.25">
      <c r="A3498" t="s">
        <v>2132</v>
      </c>
    </row>
    <row r="3499" spans="1:1" x14ac:dyDescent="0.25">
      <c r="A3499" t="s">
        <v>2133</v>
      </c>
    </row>
    <row r="3500" spans="1:1" x14ac:dyDescent="0.25">
      <c r="A3500" t="s">
        <v>2134</v>
      </c>
    </row>
    <row r="3501" spans="1:1" x14ac:dyDescent="0.25">
      <c r="A3501" t="s">
        <v>2135</v>
      </c>
    </row>
    <row r="3502" spans="1:1" x14ac:dyDescent="0.25">
      <c r="A3502" t="s">
        <v>2136</v>
      </c>
    </row>
    <row r="3503" spans="1:1" x14ac:dyDescent="0.25">
      <c r="A3503" t="s">
        <v>2137</v>
      </c>
    </row>
    <row r="3504" spans="1:1" x14ac:dyDescent="0.25">
      <c r="A3504" t="s">
        <v>2138</v>
      </c>
    </row>
    <row r="3505" spans="1:1" x14ac:dyDescent="0.25">
      <c r="A3505" t="s">
        <v>2139</v>
      </c>
    </row>
    <row r="3506" spans="1:1" x14ac:dyDescent="0.25">
      <c r="A3506" t="s">
        <v>2107</v>
      </c>
    </row>
    <row r="3507" spans="1:1" x14ac:dyDescent="0.25">
      <c r="A3507" t="s">
        <v>2140</v>
      </c>
    </row>
    <row r="3508" spans="1:1" x14ac:dyDescent="0.25">
      <c r="A3508" t="s">
        <v>2141</v>
      </c>
    </row>
    <row r="3509" spans="1:1" x14ac:dyDescent="0.25">
      <c r="A3509" t="s">
        <v>2134</v>
      </c>
    </row>
    <row r="3510" spans="1:1" x14ac:dyDescent="0.25">
      <c r="A3510" t="s">
        <v>2135</v>
      </c>
    </row>
    <row r="3511" spans="1:1" x14ac:dyDescent="0.25">
      <c r="A3511" t="s">
        <v>2136</v>
      </c>
    </row>
    <row r="3512" spans="1:1" x14ac:dyDescent="0.25">
      <c r="A3512" t="s">
        <v>2142</v>
      </c>
    </row>
    <row r="3513" spans="1:1" x14ac:dyDescent="0.25">
      <c r="A3513" t="s">
        <v>2143</v>
      </c>
    </row>
    <row r="3514" spans="1:1" x14ac:dyDescent="0.25">
      <c r="A3514" t="s">
        <v>2144</v>
      </c>
    </row>
    <row r="3515" spans="1:1" x14ac:dyDescent="0.25">
      <c r="A3515" t="s">
        <v>2145</v>
      </c>
    </row>
    <row r="3516" spans="1:1" x14ac:dyDescent="0.25">
      <c r="A3516" t="s">
        <v>2146</v>
      </c>
    </row>
    <row r="3517" spans="1:1" x14ac:dyDescent="0.25">
      <c r="A3517" t="s">
        <v>2147</v>
      </c>
    </row>
    <row r="3518" spans="1:1" x14ac:dyDescent="0.25">
      <c r="A3518" t="s">
        <v>2148</v>
      </c>
    </row>
    <row r="3519" spans="1:1" x14ac:dyDescent="0.25">
      <c r="A3519" t="s">
        <v>2149</v>
      </c>
    </row>
    <row r="3520" spans="1:1" x14ac:dyDescent="0.25">
      <c r="A3520" t="s">
        <v>323</v>
      </c>
    </row>
    <row r="3521" spans="1:1" x14ac:dyDescent="0.25">
      <c r="A3521" t="s">
        <v>2138</v>
      </c>
    </row>
    <row r="3522" spans="1:1" x14ac:dyDescent="0.25">
      <c r="A3522" t="s">
        <v>2150</v>
      </c>
    </row>
    <row r="3523" spans="1:1" x14ac:dyDescent="0.25">
      <c r="A3523" t="s">
        <v>2107</v>
      </c>
    </row>
    <row r="3524" spans="1:1" x14ac:dyDescent="0.25">
      <c r="A3524" t="s">
        <v>2151</v>
      </c>
    </row>
    <row r="3525" spans="1:1" x14ac:dyDescent="0.25">
      <c r="A3525" t="s">
        <v>2152</v>
      </c>
    </row>
    <row r="3527" spans="1:1" x14ac:dyDescent="0.25">
      <c r="A3527" t="s">
        <v>2153</v>
      </c>
    </row>
    <row r="3528" spans="1:1" x14ac:dyDescent="0.25">
      <c r="A3528" t="s">
        <v>2154</v>
      </c>
    </row>
    <row r="3529" spans="1:1" x14ac:dyDescent="0.25">
      <c r="A3529" t="s">
        <v>2155</v>
      </c>
    </row>
    <row r="3530" spans="1:1" x14ac:dyDescent="0.25">
      <c r="A3530" t="s">
        <v>2156</v>
      </c>
    </row>
    <row r="3531" spans="1:1" x14ac:dyDescent="0.25">
      <c r="A3531" t="s">
        <v>2157</v>
      </c>
    </row>
    <row r="3532" spans="1:1" x14ac:dyDescent="0.25">
      <c r="A3532" t="s">
        <v>2158</v>
      </c>
    </row>
    <row r="3533" spans="1:1" x14ac:dyDescent="0.25">
      <c r="A3533" t="s">
        <v>2159</v>
      </c>
    </row>
    <row r="3534" spans="1:1" x14ac:dyDescent="0.25">
      <c r="A3534" t="s">
        <v>2160</v>
      </c>
    </row>
    <row r="3535" spans="1:1" x14ac:dyDescent="0.25">
      <c r="A3535" t="s">
        <v>323</v>
      </c>
    </row>
    <row r="3536" spans="1:1" x14ac:dyDescent="0.25">
      <c r="A3536" t="s">
        <v>2161</v>
      </c>
    </row>
    <row r="3537" spans="1:1" x14ac:dyDescent="0.25">
      <c r="A3537" t="s">
        <v>2162</v>
      </c>
    </row>
    <row r="3538" spans="1:1" x14ac:dyDescent="0.25">
      <c r="A3538" t="s">
        <v>2107</v>
      </c>
    </row>
    <row r="3539" spans="1:1" x14ac:dyDescent="0.25">
      <c r="A3539" t="s">
        <v>2163</v>
      </c>
    </row>
    <row r="3540" spans="1:1" x14ac:dyDescent="0.25">
      <c r="A3540" t="s">
        <v>2164</v>
      </c>
    </row>
    <row r="3541" spans="1:1" x14ac:dyDescent="0.25">
      <c r="A3541" t="s">
        <v>2155</v>
      </c>
    </row>
    <row r="3542" spans="1:1" x14ac:dyDescent="0.25">
      <c r="A3542" t="s">
        <v>2165</v>
      </c>
    </row>
    <row r="3543" spans="1:1" x14ac:dyDescent="0.25">
      <c r="A3543" t="s">
        <v>2166</v>
      </c>
    </row>
    <row r="3544" spans="1:1" x14ac:dyDescent="0.25">
      <c r="A3544" t="s">
        <v>2167</v>
      </c>
    </row>
    <row r="3545" spans="1:1" x14ac:dyDescent="0.25">
      <c r="A3545" t="s">
        <v>2168</v>
      </c>
    </row>
    <row r="3546" spans="1:1" x14ac:dyDescent="0.25">
      <c r="A3546" t="s">
        <v>2169</v>
      </c>
    </row>
    <row r="3548" spans="1:1" x14ac:dyDescent="0.25">
      <c r="A3548" t="s">
        <v>2153</v>
      </c>
    </row>
    <row r="3549" spans="1:1" x14ac:dyDescent="0.25">
      <c r="A3549" t="s">
        <v>2170</v>
      </c>
    </row>
    <row r="3550" spans="1:1" x14ac:dyDescent="0.25">
      <c r="A3550" t="s">
        <v>2171</v>
      </c>
    </row>
    <row r="3551" spans="1:1" x14ac:dyDescent="0.25">
      <c r="A3551" t="s">
        <v>2172</v>
      </c>
    </row>
    <row r="3552" spans="1:1" x14ac:dyDescent="0.25">
      <c r="A3552" t="s">
        <v>2107</v>
      </c>
    </row>
    <row r="3553" spans="1:1" x14ac:dyDescent="0.25">
      <c r="A3553" t="s">
        <v>2076</v>
      </c>
    </row>
    <row r="3555" spans="1:1" x14ac:dyDescent="0.25">
      <c r="A3555" t="s">
        <v>2173</v>
      </c>
    </row>
    <row r="3557" spans="1:1" x14ac:dyDescent="0.25">
      <c r="A3557" t="s">
        <v>2174</v>
      </c>
    </row>
    <row r="3558" spans="1:1" x14ac:dyDescent="0.25">
      <c r="A3558" t="s">
        <v>2175</v>
      </c>
    </row>
    <row r="3559" spans="1:1" x14ac:dyDescent="0.25">
      <c r="A3559" t="s">
        <v>2176</v>
      </c>
    </row>
    <row r="3560" spans="1:1" x14ac:dyDescent="0.25">
      <c r="A3560" t="s">
        <v>2177</v>
      </c>
    </row>
    <row r="3561" spans="1:1" x14ac:dyDescent="0.25">
      <c r="A3561" t="s">
        <v>146</v>
      </c>
    </row>
    <row r="3562" spans="1:1" x14ac:dyDescent="0.25">
      <c r="A3562" t="s">
        <v>2178</v>
      </c>
    </row>
    <row r="3563" spans="1:1" x14ac:dyDescent="0.25">
      <c r="A3563" t="s">
        <v>2179</v>
      </c>
    </row>
    <row r="3564" spans="1:1" x14ac:dyDescent="0.25">
      <c r="A3564" t="s">
        <v>2177</v>
      </c>
    </row>
    <row r="3565" spans="1:1" x14ac:dyDescent="0.25">
      <c r="A3565" t="s">
        <v>2180</v>
      </c>
    </row>
    <row r="3566" spans="1:1" x14ac:dyDescent="0.25">
      <c r="A3566" t="s">
        <v>2181</v>
      </c>
    </row>
    <row r="3568" spans="1:1" x14ac:dyDescent="0.25">
      <c r="A3568" t="s">
        <v>2182</v>
      </c>
    </row>
    <row r="3569" spans="1:1" x14ac:dyDescent="0.25">
      <c r="A3569" t="s">
        <v>2183</v>
      </c>
    </row>
    <row r="3570" spans="1:1" x14ac:dyDescent="0.25">
      <c r="A3570" t="s">
        <v>2177</v>
      </c>
    </row>
    <row r="3571" spans="1:1" x14ac:dyDescent="0.25">
      <c r="A3571" t="s">
        <v>146</v>
      </c>
    </row>
    <row r="3572" spans="1:1" x14ac:dyDescent="0.25">
      <c r="A3572" t="s">
        <v>2184</v>
      </c>
    </row>
    <row r="3573" spans="1:1" x14ac:dyDescent="0.25">
      <c r="A3573" t="s">
        <v>2183</v>
      </c>
    </row>
    <row r="3574" spans="1:1" x14ac:dyDescent="0.25">
      <c r="A3574" t="s">
        <v>2177</v>
      </c>
    </row>
    <row r="3575" spans="1:1" x14ac:dyDescent="0.25">
      <c r="A3575" t="s">
        <v>2185</v>
      </c>
    </row>
    <row r="3576" spans="1:1" x14ac:dyDescent="0.25">
      <c r="A3576" t="s">
        <v>2186</v>
      </c>
    </row>
    <row r="3578" spans="1:1" x14ac:dyDescent="0.25">
      <c r="A3578" t="s">
        <v>2187</v>
      </c>
    </row>
    <row r="3579" spans="1:1" x14ac:dyDescent="0.25">
      <c r="A3579" t="s">
        <v>2188</v>
      </c>
    </row>
    <row r="3580" spans="1:1" x14ac:dyDescent="0.25">
      <c r="A3580" t="s">
        <v>146</v>
      </c>
    </row>
    <row r="3581" spans="1:1" x14ac:dyDescent="0.25">
      <c r="A3581" t="s">
        <v>2189</v>
      </c>
    </row>
    <row r="3582" spans="1:1" x14ac:dyDescent="0.25">
      <c r="A3582" t="s">
        <v>146</v>
      </c>
    </row>
    <row r="3583" spans="1:1" x14ac:dyDescent="0.25">
      <c r="A3583" t="s">
        <v>2190</v>
      </c>
    </row>
    <row r="3584" spans="1:1" x14ac:dyDescent="0.25">
      <c r="A3584" t="s">
        <v>2191</v>
      </c>
    </row>
    <row r="3585" spans="1:1" x14ac:dyDescent="0.25">
      <c r="A3585" t="s">
        <v>2192</v>
      </c>
    </row>
    <row r="3586" spans="1:1" x14ac:dyDescent="0.25">
      <c r="A3586" t="s">
        <v>2193</v>
      </c>
    </row>
    <row r="3587" spans="1:1" x14ac:dyDescent="0.25">
      <c r="A3587" t="s">
        <v>2194</v>
      </c>
    </row>
    <row r="3588" spans="1:1" x14ac:dyDescent="0.25">
      <c r="A3588" t="s">
        <v>2195</v>
      </c>
    </row>
    <row r="3589" spans="1:1" x14ac:dyDescent="0.25">
      <c r="A3589" t="s">
        <v>2196</v>
      </c>
    </row>
    <row r="3591" spans="1:1" x14ac:dyDescent="0.25">
      <c r="A3591" t="s">
        <v>2197</v>
      </c>
    </row>
    <row r="3592" spans="1:1" x14ac:dyDescent="0.25">
      <c r="A3592" t="s">
        <v>2198</v>
      </c>
    </row>
    <row r="3593" spans="1:1" x14ac:dyDescent="0.25">
      <c r="A3593" t="s">
        <v>2199</v>
      </c>
    </row>
    <row r="3594" spans="1:1" x14ac:dyDescent="0.25">
      <c r="A3594" t="s">
        <v>2200</v>
      </c>
    </row>
    <row r="3595" spans="1:1" x14ac:dyDescent="0.25">
      <c r="A3595" t="s">
        <v>2201</v>
      </c>
    </row>
    <row r="3596" spans="1:1" x14ac:dyDescent="0.25">
      <c r="A3596" t="s">
        <v>2202</v>
      </c>
    </row>
    <row r="3597" spans="1:1" x14ac:dyDescent="0.25">
      <c r="A3597" t="s">
        <v>2203</v>
      </c>
    </row>
    <row r="3598" spans="1:1" x14ac:dyDescent="0.25">
      <c r="A3598" t="s">
        <v>2204</v>
      </c>
    </row>
    <row r="3599" spans="1:1" x14ac:dyDescent="0.25">
      <c r="A3599" t="s">
        <v>2205</v>
      </c>
    </row>
    <row r="3600" spans="1:1" x14ac:dyDescent="0.25">
      <c r="A3600" t="s">
        <v>2206</v>
      </c>
    </row>
    <row r="3601" spans="1:1" x14ac:dyDescent="0.25">
      <c r="A3601" t="s">
        <v>2207</v>
      </c>
    </row>
    <row r="3602" spans="1:1" x14ac:dyDescent="0.25">
      <c r="A3602" t="s">
        <v>2208</v>
      </c>
    </row>
    <row r="3603" spans="1:1" x14ac:dyDescent="0.25">
      <c r="A3603" t="s">
        <v>2209</v>
      </c>
    </row>
    <row r="3604" spans="1:1" x14ac:dyDescent="0.25">
      <c r="A3604" t="s">
        <v>2210</v>
      </c>
    </row>
    <row r="3605" spans="1:1" x14ac:dyDescent="0.25">
      <c r="A3605" t="s">
        <v>2211</v>
      </c>
    </row>
    <row r="3606" spans="1:1" x14ac:dyDescent="0.25">
      <c r="A3606" t="s">
        <v>306</v>
      </c>
    </row>
    <row r="3607" spans="1:1" x14ac:dyDescent="0.25">
      <c r="A3607" t="s">
        <v>2212</v>
      </c>
    </row>
    <row r="3608" spans="1:1" x14ac:dyDescent="0.25">
      <c r="A3608" t="s">
        <v>2213</v>
      </c>
    </row>
    <row r="3609" spans="1:1" x14ac:dyDescent="0.25">
      <c r="A3609" t="s">
        <v>2214</v>
      </c>
    </row>
    <row r="3610" spans="1:1" x14ac:dyDescent="0.25">
      <c r="A3610" t="s">
        <v>21</v>
      </c>
    </row>
    <row r="3613" spans="1:1" x14ac:dyDescent="0.25">
      <c r="A3613" t="s">
        <v>2215</v>
      </c>
    </row>
    <row r="3614" spans="1:1" x14ac:dyDescent="0.25">
      <c r="A3614" t="s">
        <v>2216</v>
      </c>
    </row>
    <row r="3615" spans="1:1" x14ac:dyDescent="0.25">
      <c r="A3615" t="s">
        <v>21</v>
      </c>
    </row>
    <row r="3616" spans="1:1" x14ac:dyDescent="0.25">
      <c r="A3616" t="s">
        <v>145</v>
      </c>
    </row>
    <row r="3617" spans="1:1" x14ac:dyDescent="0.25">
      <c r="A3617" t="s">
        <v>2217</v>
      </c>
    </row>
    <row r="3618" spans="1:1" x14ac:dyDescent="0.25">
      <c r="A3618" t="s">
        <v>2218</v>
      </c>
    </row>
    <row r="3619" spans="1:1" x14ac:dyDescent="0.25">
      <c r="A3619" t="s">
        <v>2219</v>
      </c>
    </row>
    <row r="3620" spans="1:1" x14ac:dyDescent="0.25">
      <c r="A3620" t="s">
        <v>2220</v>
      </c>
    </row>
    <row r="3621" spans="1:1" x14ac:dyDescent="0.25">
      <c r="A3621" t="s">
        <v>2221</v>
      </c>
    </row>
    <row r="3622" spans="1:1" x14ac:dyDescent="0.25">
      <c r="A3622" t="s">
        <v>2222</v>
      </c>
    </row>
    <row r="3623" spans="1:1" x14ac:dyDescent="0.25">
      <c r="A3623" t="s">
        <v>2223</v>
      </c>
    </row>
    <row r="3624" spans="1:1" x14ac:dyDescent="0.25">
      <c r="A3624" t="s">
        <v>2224</v>
      </c>
    </row>
    <row r="3625" spans="1:1" x14ac:dyDescent="0.25">
      <c r="A3625" t="s">
        <v>2210</v>
      </c>
    </row>
    <row r="3626" spans="1:1" x14ac:dyDescent="0.25">
      <c r="A3626" t="s">
        <v>2211</v>
      </c>
    </row>
    <row r="3627" spans="1:1" x14ac:dyDescent="0.25">
      <c r="A3627" t="s">
        <v>306</v>
      </c>
    </row>
    <row r="3628" spans="1:1" x14ac:dyDescent="0.25">
      <c r="A3628" t="s">
        <v>2212</v>
      </c>
    </row>
    <row r="3629" spans="1:1" x14ac:dyDescent="0.25">
      <c r="A3629" t="s">
        <v>2225</v>
      </c>
    </row>
    <row r="3630" spans="1:1" x14ac:dyDescent="0.25">
      <c r="A3630" t="s">
        <v>2226</v>
      </c>
    </row>
    <row r="3631" spans="1:1" x14ac:dyDescent="0.25">
      <c r="A3631" t="s">
        <v>2227</v>
      </c>
    </row>
    <row r="3632" spans="1:1" x14ac:dyDescent="0.25">
      <c r="A3632" t="s">
        <v>2213</v>
      </c>
    </row>
    <row r="3633" spans="1:1" x14ac:dyDescent="0.25">
      <c r="A3633" t="s">
        <v>2228</v>
      </c>
    </row>
    <row r="3634" spans="1:1" x14ac:dyDescent="0.25">
      <c r="A3634" t="s">
        <v>2229</v>
      </c>
    </row>
    <row r="3635" spans="1:1" x14ac:dyDescent="0.25">
      <c r="A3635" t="s">
        <v>2230</v>
      </c>
    </row>
    <row r="3636" spans="1:1" x14ac:dyDescent="0.25">
      <c r="A3636" t="s">
        <v>21</v>
      </c>
    </row>
    <row r="3638" spans="1:1" x14ac:dyDescent="0.25">
      <c r="A3638" t="s">
        <v>2231</v>
      </c>
    </row>
    <row r="3641" spans="1:1" x14ac:dyDescent="0.25">
      <c r="A3641" t="s">
        <v>2232</v>
      </c>
    </row>
    <row r="3642" spans="1:1" x14ac:dyDescent="0.25">
      <c r="A3642" t="s">
        <v>2233</v>
      </c>
    </row>
    <row r="3643" spans="1:1" x14ac:dyDescent="0.25">
      <c r="A3643" t="s">
        <v>2234</v>
      </c>
    </row>
    <row r="3644" spans="1:1" x14ac:dyDescent="0.25">
      <c r="A3644" t="s">
        <v>2235</v>
      </c>
    </row>
    <row r="3645" spans="1:1" x14ac:dyDescent="0.25">
      <c r="A3645" t="s">
        <v>2236</v>
      </c>
    </row>
    <row r="3646" spans="1:1" x14ac:dyDescent="0.25">
      <c r="A3646" t="s">
        <v>2237</v>
      </c>
    </row>
    <row r="3647" spans="1:1" x14ac:dyDescent="0.25">
      <c r="A3647" t="s">
        <v>2238</v>
      </c>
    </row>
    <row r="3648" spans="1:1" x14ac:dyDescent="0.25">
      <c r="A3648" t="s">
        <v>2239</v>
      </c>
    </row>
    <row r="3649" spans="1:1" x14ac:dyDescent="0.25">
      <c r="A3649" t="s">
        <v>2240</v>
      </c>
    </row>
    <row r="3650" spans="1:1" x14ac:dyDescent="0.25">
      <c r="A3650" t="s">
        <v>2241</v>
      </c>
    </row>
    <row r="3651" spans="1:1" x14ac:dyDescent="0.25">
      <c r="A3651" t="s">
        <v>2242</v>
      </c>
    </row>
    <row r="3652" spans="1:1" x14ac:dyDescent="0.25">
      <c r="A3652" t="s">
        <v>2243</v>
      </c>
    </row>
    <row r="3653" spans="1:1" x14ac:dyDescent="0.25">
      <c r="A3653" t="s">
        <v>2244</v>
      </c>
    </row>
    <row r="3654" spans="1:1" x14ac:dyDescent="0.25">
      <c r="A3654" t="s">
        <v>788</v>
      </c>
    </row>
    <row r="3655" spans="1:1" x14ac:dyDescent="0.25">
      <c r="A3655" t="s">
        <v>2245</v>
      </c>
    </row>
    <row r="3656" spans="1:1" x14ac:dyDescent="0.25">
      <c r="A3656" t="s">
        <v>2246</v>
      </c>
    </row>
    <row r="3657" spans="1:1" x14ac:dyDescent="0.25">
      <c r="A3657" t="s">
        <v>268</v>
      </c>
    </row>
    <row r="3658" spans="1:1" x14ac:dyDescent="0.25">
      <c r="A3658" t="s">
        <v>21</v>
      </c>
    </row>
    <row r="3660" spans="1:1" x14ac:dyDescent="0.25">
      <c r="A3660" t="s">
        <v>2247</v>
      </c>
    </row>
    <row r="3661" spans="1:1" x14ac:dyDescent="0.25">
      <c r="A3661" t="s">
        <v>2248</v>
      </c>
    </row>
    <row r="3662" spans="1:1" x14ac:dyDescent="0.25">
      <c r="A3662" t="s">
        <v>2249</v>
      </c>
    </row>
    <row r="3663" spans="1:1" x14ac:dyDescent="0.25">
      <c r="A3663" t="s">
        <v>2250</v>
      </c>
    </row>
    <row r="3664" spans="1:1" x14ac:dyDescent="0.25">
      <c r="A3664" t="s">
        <v>2251</v>
      </c>
    </row>
    <row r="3665" spans="1:1" x14ac:dyDescent="0.25">
      <c r="A3665" t="s">
        <v>2252</v>
      </c>
    </row>
    <row r="3666" spans="1:1" x14ac:dyDescent="0.25">
      <c r="A3666" t="s">
        <v>2253</v>
      </c>
    </row>
    <row r="3667" spans="1:1" x14ac:dyDescent="0.25">
      <c r="A3667" t="s">
        <v>426</v>
      </c>
    </row>
    <row r="3669" spans="1:1" x14ac:dyDescent="0.25">
      <c r="A3669" t="s">
        <v>2254</v>
      </c>
    </row>
    <row r="3670" spans="1:1" x14ac:dyDescent="0.25">
      <c r="A3670" t="s">
        <v>2255</v>
      </c>
    </row>
    <row r="3671" spans="1:1" x14ac:dyDescent="0.25">
      <c r="A3671" t="s">
        <v>2256</v>
      </c>
    </row>
    <row r="3672" spans="1:1" x14ac:dyDescent="0.25">
      <c r="A3672" t="s">
        <v>1243</v>
      </c>
    </row>
    <row r="3673" spans="1:1" x14ac:dyDescent="0.25">
      <c r="A3673" t="s">
        <v>1244</v>
      </c>
    </row>
    <row r="3674" spans="1:1" x14ac:dyDescent="0.25">
      <c r="A3674" t="s">
        <v>1245</v>
      </c>
    </row>
    <row r="3675" spans="1:1" x14ac:dyDescent="0.25">
      <c r="A3675" t="s">
        <v>1246</v>
      </c>
    </row>
    <row r="3676" spans="1:1" x14ac:dyDescent="0.25">
      <c r="A3676" t="s">
        <v>1247</v>
      </c>
    </row>
    <row r="3677" spans="1:1" x14ac:dyDescent="0.25">
      <c r="A3677" t="s">
        <v>2257</v>
      </c>
    </row>
    <row r="3678" spans="1:1" x14ac:dyDescent="0.25">
      <c r="A3678" t="s">
        <v>21</v>
      </c>
    </row>
    <row r="3680" spans="1:1" x14ac:dyDescent="0.25">
      <c r="A3680" t="s">
        <v>2258</v>
      </c>
    </row>
    <row r="3681" spans="1:1" x14ac:dyDescent="0.25">
      <c r="A3681" t="s">
        <v>2259</v>
      </c>
    </row>
    <row r="3682" spans="1:1" x14ac:dyDescent="0.25">
      <c r="A3682" t="s">
        <v>2260</v>
      </c>
    </row>
    <row r="3683" spans="1:1" x14ac:dyDescent="0.25">
      <c r="A3683" t="s">
        <v>2261</v>
      </c>
    </row>
    <row r="3684" spans="1:1" x14ac:dyDescent="0.25">
      <c r="A3684" t="s">
        <v>2257</v>
      </c>
    </row>
    <row r="3685" spans="1:1" x14ac:dyDescent="0.25">
      <c r="A3685" t="s">
        <v>21</v>
      </c>
    </row>
    <row r="3687" spans="1:1" x14ac:dyDescent="0.25">
      <c r="A3687" t="s">
        <v>2262</v>
      </c>
    </row>
    <row r="3688" spans="1:1" x14ac:dyDescent="0.25">
      <c r="A3688" t="s">
        <v>1251</v>
      </c>
    </row>
    <row r="3689" spans="1:1" x14ac:dyDescent="0.25">
      <c r="A3689" t="s">
        <v>2263</v>
      </c>
    </row>
    <row r="3690" spans="1:1" x14ac:dyDescent="0.25">
      <c r="A3690" t="s">
        <v>1253</v>
      </c>
    </row>
    <row r="3691" spans="1:1" x14ac:dyDescent="0.25">
      <c r="A3691" t="s">
        <v>1254</v>
      </c>
    </row>
    <row r="3692" spans="1:1" x14ac:dyDescent="0.25">
      <c r="A3692" t="s">
        <v>2264</v>
      </c>
    </row>
    <row r="3693" spans="1:1" x14ac:dyDescent="0.25">
      <c r="A3693" t="s">
        <v>1256</v>
      </c>
    </row>
    <row r="3694" spans="1:1" x14ac:dyDescent="0.25">
      <c r="A3694" t="s">
        <v>1257</v>
      </c>
    </row>
    <row r="3695" spans="1:1" x14ac:dyDescent="0.25">
      <c r="A3695" t="s">
        <v>2265</v>
      </c>
    </row>
    <row r="3696" spans="1:1" x14ac:dyDescent="0.25">
      <c r="A3696" t="s">
        <v>2266</v>
      </c>
    </row>
    <row r="3697" spans="1:1" x14ac:dyDescent="0.25">
      <c r="A3697" t="s">
        <v>2267</v>
      </c>
    </row>
    <row r="3698" spans="1:1" x14ac:dyDescent="0.25">
      <c r="A3698" t="s">
        <v>1260</v>
      </c>
    </row>
    <row r="3699" spans="1:1" x14ac:dyDescent="0.25">
      <c r="A3699" t="s">
        <v>2268</v>
      </c>
    </row>
    <row r="3700" spans="1:1" x14ac:dyDescent="0.25">
      <c r="A3700" t="s">
        <v>1214</v>
      </c>
    </row>
    <row r="3701" spans="1:1" x14ac:dyDescent="0.25">
      <c r="A3701" t="s">
        <v>1261</v>
      </c>
    </row>
    <row r="3702" spans="1:1" x14ac:dyDescent="0.25">
      <c r="A3702" t="s">
        <v>1262</v>
      </c>
    </row>
    <row r="3703" spans="1:1" x14ac:dyDescent="0.25">
      <c r="A3703" t="s">
        <v>21</v>
      </c>
    </row>
    <row r="3704" spans="1:1" x14ac:dyDescent="0.25">
      <c r="A3704" t="s">
        <v>2269</v>
      </c>
    </row>
    <row r="3705" spans="1:1" x14ac:dyDescent="0.25">
      <c r="A3705" t="s">
        <v>2270</v>
      </c>
    </row>
    <row r="3706" spans="1:1" x14ac:dyDescent="0.25">
      <c r="A3706" t="s">
        <v>2271</v>
      </c>
    </row>
    <row r="3707" spans="1:1" x14ac:dyDescent="0.25">
      <c r="A3707" t="s">
        <v>1265</v>
      </c>
    </row>
    <row r="3708" spans="1:1" x14ac:dyDescent="0.25">
      <c r="A3708" t="s">
        <v>2272</v>
      </c>
    </row>
    <row r="3709" spans="1:1" x14ac:dyDescent="0.25">
      <c r="A3709" t="s">
        <v>1267</v>
      </c>
    </row>
    <row r="3710" spans="1:1" x14ac:dyDescent="0.25">
      <c r="A3710" t="s">
        <v>2273</v>
      </c>
    </row>
    <row r="3711" spans="1:1" x14ac:dyDescent="0.25">
      <c r="A3711" t="s">
        <v>1270</v>
      </c>
    </row>
    <row r="3712" spans="1:1" x14ac:dyDescent="0.25">
      <c r="A3712" t="s">
        <v>1271</v>
      </c>
    </row>
    <row r="3713" spans="1:1" x14ac:dyDescent="0.25">
      <c r="A3713" t="s">
        <v>1272</v>
      </c>
    </row>
    <row r="3714" spans="1:1" x14ac:dyDescent="0.25">
      <c r="A3714" t="s">
        <v>1273</v>
      </c>
    </row>
    <row r="3715" spans="1:1" x14ac:dyDescent="0.25">
      <c r="A3715" t="s">
        <v>2274</v>
      </c>
    </row>
    <row r="3716" spans="1:1" x14ac:dyDescent="0.25">
      <c r="A3716" t="s">
        <v>1274</v>
      </c>
    </row>
    <row r="3717" spans="1:1" x14ac:dyDescent="0.25">
      <c r="A3717" t="s">
        <v>2275</v>
      </c>
    </row>
    <row r="3718" spans="1:1" x14ac:dyDescent="0.25">
      <c r="A3718" t="s">
        <v>1280</v>
      </c>
    </row>
    <row r="3719" spans="1:1" x14ac:dyDescent="0.25">
      <c r="A3719" t="s">
        <v>1281</v>
      </c>
    </row>
    <row r="3720" spans="1:1" x14ac:dyDescent="0.25">
      <c r="A3720" t="s">
        <v>1282</v>
      </c>
    </row>
    <row r="3721" spans="1:1" x14ac:dyDescent="0.25">
      <c r="A3721" t="s">
        <v>1283</v>
      </c>
    </row>
    <row r="3722" spans="1:1" x14ac:dyDescent="0.25">
      <c r="A3722" t="s">
        <v>21</v>
      </c>
    </row>
    <row r="3724" spans="1:1" x14ac:dyDescent="0.25">
      <c r="A3724" t="s">
        <v>2276</v>
      </c>
    </row>
    <row r="3725" spans="1:1" x14ac:dyDescent="0.25">
      <c r="A3725" t="s">
        <v>2277</v>
      </c>
    </row>
    <row r="3726" spans="1:1" x14ac:dyDescent="0.25">
      <c r="A3726" t="s">
        <v>2278</v>
      </c>
    </row>
    <row r="3727" spans="1:1" x14ac:dyDescent="0.25">
      <c r="A3727" t="s">
        <v>2279</v>
      </c>
    </row>
    <row r="3728" spans="1:1" x14ac:dyDescent="0.25">
      <c r="A3728" t="s">
        <v>2280</v>
      </c>
    </row>
    <row r="3729" spans="1:1" x14ac:dyDescent="0.25">
      <c r="A3729" t="s">
        <v>2281</v>
      </c>
    </row>
    <row r="3730" spans="1:1" x14ac:dyDescent="0.25">
      <c r="A3730" t="s">
        <v>2282</v>
      </c>
    </row>
    <row r="3731" spans="1:1" x14ac:dyDescent="0.25">
      <c r="A3731" t="s">
        <v>268</v>
      </c>
    </row>
    <row r="3732" spans="1:1" x14ac:dyDescent="0.25">
      <c r="A3732" t="s">
        <v>2283</v>
      </c>
    </row>
    <row r="3733" spans="1:1" x14ac:dyDescent="0.25">
      <c r="A3733" t="s">
        <v>2284</v>
      </c>
    </row>
    <row r="3734" spans="1:1" x14ac:dyDescent="0.25">
      <c r="A3734" t="s">
        <v>2285</v>
      </c>
    </row>
    <row r="3735" spans="1:1" x14ac:dyDescent="0.25">
      <c r="A3735" t="s">
        <v>2286</v>
      </c>
    </row>
    <row r="3736" spans="1:1" x14ac:dyDescent="0.25">
      <c r="A3736" t="s">
        <v>2287</v>
      </c>
    </row>
    <row r="3737" spans="1:1" x14ac:dyDescent="0.25">
      <c r="A3737" t="s">
        <v>2288</v>
      </c>
    </row>
    <row r="3738" spans="1:1" x14ac:dyDescent="0.25">
      <c r="A3738" t="s">
        <v>214</v>
      </c>
    </row>
    <row r="3739" spans="1:1" x14ac:dyDescent="0.25">
      <c r="A3739" t="s">
        <v>2289</v>
      </c>
    </row>
    <row r="3740" spans="1:1" x14ac:dyDescent="0.25">
      <c r="A3740" t="s">
        <v>21</v>
      </c>
    </row>
    <row r="3742" spans="1:1" x14ac:dyDescent="0.25">
      <c r="A3742" t="s">
        <v>2290</v>
      </c>
    </row>
    <row r="3743" spans="1:1" x14ac:dyDescent="0.25">
      <c r="A3743" t="s">
        <v>2291</v>
      </c>
    </row>
    <row r="3744" spans="1:1" x14ac:dyDescent="0.25">
      <c r="A3744" t="s">
        <v>1253</v>
      </c>
    </row>
    <row r="3745" spans="1:1" x14ac:dyDescent="0.25">
      <c r="A3745" t="s">
        <v>1254</v>
      </c>
    </row>
    <row r="3746" spans="1:1" x14ac:dyDescent="0.25">
      <c r="A3746" t="s">
        <v>2292</v>
      </c>
    </row>
    <row r="3747" spans="1:1" x14ac:dyDescent="0.25">
      <c r="A3747" t="s">
        <v>1256</v>
      </c>
    </row>
    <row r="3748" spans="1:1" x14ac:dyDescent="0.25">
      <c r="A3748" t="s">
        <v>1257</v>
      </c>
    </row>
    <row r="3749" spans="1:1" x14ac:dyDescent="0.25">
      <c r="A3749" t="s">
        <v>2293</v>
      </c>
    </row>
    <row r="3750" spans="1:1" x14ac:dyDescent="0.25">
      <c r="A3750" t="s">
        <v>1210</v>
      </c>
    </row>
    <row r="3751" spans="1:1" x14ac:dyDescent="0.25">
      <c r="A3751" t="s">
        <v>1260</v>
      </c>
    </row>
    <row r="3752" spans="1:1" x14ac:dyDescent="0.25">
      <c r="A3752" t="s">
        <v>1213</v>
      </c>
    </row>
    <row r="3753" spans="1:1" x14ac:dyDescent="0.25">
      <c r="A3753" t="s">
        <v>1214</v>
      </c>
    </row>
    <row r="3754" spans="1:1" x14ac:dyDescent="0.25">
      <c r="A3754" t="s">
        <v>1261</v>
      </c>
    </row>
    <row r="3755" spans="1:1" x14ac:dyDescent="0.25">
      <c r="A3755" t="s">
        <v>1262</v>
      </c>
    </row>
    <row r="3756" spans="1:1" x14ac:dyDescent="0.25">
      <c r="A3756" t="s">
        <v>21</v>
      </c>
    </row>
    <row r="3757" spans="1:1" x14ac:dyDescent="0.25">
      <c r="A3757" t="s">
        <v>2294</v>
      </c>
    </row>
    <row r="3758" spans="1:1" x14ac:dyDescent="0.25">
      <c r="A3758" t="s">
        <v>2295</v>
      </c>
    </row>
    <row r="3759" spans="1:1" x14ac:dyDescent="0.25">
      <c r="A3759" t="s">
        <v>2296</v>
      </c>
    </row>
    <row r="3760" spans="1:1" x14ac:dyDescent="0.25">
      <c r="A3760" t="s">
        <v>2297</v>
      </c>
    </row>
    <row r="3761" spans="1:1" x14ac:dyDescent="0.25">
      <c r="A3761" t="s">
        <v>2298</v>
      </c>
    </row>
    <row r="3762" spans="1:1" x14ac:dyDescent="0.25">
      <c r="A3762" t="s">
        <v>1210</v>
      </c>
    </row>
    <row r="3763" spans="1:1" x14ac:dyDescent="0.25">
      <c r="A3763" t="s">
        <v>2299</v>
      </c>
    </row>
    <row r="3764" spans="1:1" x14ac:dyDescent="0.25">
      <c r="A3764" t="s">
        <v>1213</v>
      </c>
    </row>
    <row r="3765" spans="1:1" x14ac:dyDescent="0.25">
      <c r="A3765" t="s">
        <v>1214</v>
      </c>
    </row>
    <row r="3766" spans="1:1" x14ac:dyDescent="0.25">
      <c r="A3766" t="s">
        <v>2300</v>
      </c>
    </row>
    <row r="3767" spans="1:1" x14ac:dyDescent="0.25">
      <c r="A3767" t="s">
        <v>21</v>
      </c>
    </row>
    <row r="3769" spans="1:1" x14ac:dyDescent="0.25">
      <c r="A3769" t="s">
        <v>2301</v>
      </c>
    </row>
    <row r="3770" spans="1:1" x14ac:dyDescent="0.25">
      <c r="A3770" t="s">
        <v>2302</v>
      </c>
    </row>
    <row r="3771" spans="1:1" x14ac:dyDescent="0.25">
      <c r="A3771" t="s">
        <v>2303</v>
      </c>
    </row>
    <row r="3772" spans="1:1" x14ac:dyDescent="0.25">
      <c r="A3772" t="s">
        <v>2304</v>
      </c>
    </row>
    <row r="3773" spans="1:1" x14ac:dyDescent="0.25">
      <c r="A3773" t="s">
        <v>2305</v>
      </c>
    </row>
    <row r="3774" spans="1:1" x14ac:dyDescent="0.25">
      <c r="A3774" t="s">
        <v>2306</v>
      </c>
    </row>
    <row r="3775" spans="1:1" x14ac:dyDescent="0.25">
      <c r="A3775" t="s">
        <v>2307</v>
      </c>
    </row>
    <row r="3776" spans="1:1" x14ac:dyDescent="0.25">
      <c r="A3776" t="s">
        <v>2308</v>
      </c>
    </row>
    <row r="3777" spans="1:1" x14ac:dyDescent="0.25">
      <c r="A3777" t="s">
        <v>2309</v>
      </c>
    </row>
    <row r="3778" spans="1:1" x14ac:dyDescent="0.25">
      <c r="A3778" t="s">
        <v>2310</v>
      </c>
    </row>
    <row r="3779" spans="1:1" x14ac:dyDescent="0.25">
      <c r="A3779" t="s">
        <v>2311</v>
      </c>
    </row>
    <row r="3780" spans="1:1" x14ac:dyDescent="0.25">
      <c r="A3780" t="s">
        <v>2312</v>
      </c>
    </row>
    <row r="3781" spans="1:1" x14ac:dyDescent="0.25">
      <c r="A3781" t="s">
        <v>2313</v>
      </c>
    </row>
    <row r="3782" spans="1:1" x14ac:dyDescent="0.25">
      <c r="A3782" t="s">
        <v>2314</v>
      </c>
    </row>
    <row r="3783" spans="1:1" x14ac:dyDescent="0.25">
      <c r="A3783" t="s">
        <v>1350</v>
      </c>
    </row>
    <row r="3784" spans="1:1" x14ac:dyDescent="0.25">
      <c r="A3784" t="s">
        <v>2315</v>
      </c>
    </row>
    <row r="3785" spans="1:1" x14ac:dyDescent="0.25">
      <c r="A3785" t="s">
        <v>2316</v>
      </c>
    </row>
    <row r="3786" spans="1:1" x14ac:dyDescent="0.25">
      <c r="A3786" t="s">
        <v>21</v>
      </c>
    </row>
    <row r="3788" spans="1:1" x14ac:dyDescent="0.25">
      <c r="A3788" t="s">
        <v>2317</v>
      </c>
    </row>
    <row r="3789" spans="1:1" x14ac:dyDescent="0.25">
      <c r="A3789" t="s">
        <v>2270</v>
      </c>
    </row>
    <row r="3790" spans="1:1" x14ac:dyDescent="0.25">
      <c r="A3790" t="s">
        <v>2318</v>
      </c>
    </row>
    <row r="3791" spans="1:1" x14ac:dyDescent="0.25">
      <c r="A3791" t="s">
        <v>2319</v>
      </c>
    </row>
    <row r="3792" spans="1:1" x14ac:dyDescent="0.25">
      <c r="A3792" t="s">
        <v>2320</v>
      </c>
    </row>
    <row r="3793" spans="1:1" x14ac:dyDescent="0.25">
      <c r="A3793" t="s">
        <v>2321</v>
      </c>
    </row>
    <row r="3794" spans="1:1" x14ac:dyDescent="0.25">
      <c r="A3794" t="s">
        <v>2322</v>
      </c>
    </row>
    <row r="3795" spans="1:1" x14ac:dyDescent="0.25">
      <c r="A3795" t="s">
        <v>2323</v>
      </c>
    </row>
    <row r="3796" spans="1:1" x14ac:dyDescent="0.25">
      <c r="A3796" t="s">
        <v>2324</v>
      </c>
    </row>
    <row r="3797" spans="1:1" x14ac:dyDescent="0.25">
      <c r="A3797" t="s">
        <v>2325</v>
      </c>
    </row>
    <row r="3798" spans="1:1" x14ac:dyDescent="0.25">
      <c r="A3798" t="s">
        <v>2326</v>
      </c>
    </row>
    <row r="3799" spans="1:1" x14ac:dyDescent="0.25">
      <c r="A3799" t="s">
        <v>214</v>
      </c>
    </row>
    <row r="3800" spans="1:1" x14ac:dyDescent="0.25">
      <c r="A3800" t="s">
        <v>2327</v>
      </c>
    </row>
    <row r="3801" spans="1:1" x14ac:dyDescent="0.25">
      <c r="A3801" t="s">
        <v>21</v>
      </c>
    </row>
    <row r="3803" spans="1:1" x14ac:dyDescent="0.25">
      <c r="A3803" t="s">
        <v>2328</v>
      </c>
    </row>
    <row r="3804" spans="1:1" x14ac:dyDescent="0.25">
      <c r="A3804" t="s">
        <v>2329</v>
      </c>
    </row>
    <row r="3805" spans="1:1" x14ac:dyDescent="0.25">
      <c r="A3805" t="s">
        <v>2330</v>
      </c>
    </row>
    <row r="3806" spans="1:1" x14ac:dyDescent="0.25">
      <c r="A3806" t="s">
        <v>2331</v>
      </c>
    </row>
    <row r="3807" spans="1:1" x14ac:dyDescent="0.25">
      <c r="A3807" t="s">
        <v>2332</v>
      </c>
    </row>
    <row r="3808" spans="1:1" x14ac:dyDescent="0.25">
      <c r="A3808" t="s">
        <v>2333</v>
      </c>
    </row>
    <row r="3809" spans="1:1" x14ac:dyDescent="0.25">
      <c r="A3809" t="s">
        <v>2334</v>
      </c>
    </row>
    <row r="3810" spans="1:1" x14ac:dyDescent="0.25">
      <c r="A3810" t="s">
        <v>1259</v>
      </c>
    </row>
    <row r="3811" spans="1:1" x14ac:dyDescent="0.25">
      <c r="A3811" t="s">
        <v>1210</v>
      </c>
    </row>
    <row r="3812" spans="1:1" x14ac:dyDescent="0.25">
      <c r="A3812" t="s">
        <v>1260</v>
      </c>
    </row>
    <row r="3813" spans="1:1" x14ac:dyDescent="0.25">
      <c r="A3813" t="s">
        <v>1213</v>
      </c>
    </row>
    <row r="3814" spans="1:1" x14ac:dyDescent="0.25">
      <c r="A3814" t="s">
        <v>1214</v>
      </c>
    </row>
    <row r="3815" spans="1:1" x14ac:dyDescent="0.25">
      <c r="A3815" t="s">
        <v>1261</v>
      </c>
    </row>
    <row r="3816" spans="1:1" x14ac:dyDescent="0.25">
      <c r="A3816" t="s">
        <v>1262</v>
      </c>
    </row>
    <row r="3817" spans="1:1" x14ac:dyDescent="0.25">
      <c r="A3817" t="s">
        <v>21</v>
      </c>
    </row>
    <row r="3819" spans="1:1" x14ac:dyDescent="0.25">
      <c r="A3819" t="s">
        <v>2335</v>
      </c>
    </row>
    <row r="3820" spans="1:1" x14ac:dyDescent="0.25">
      <c r="A3820" t="s">
        <v>2336</v>
      </c>
    </row>
    <row r="3821" spans="1:1" x14ac:dyDescent="0.25">
      <c r="A3821" t="s">
        <v>2337</v>
      </c>
    </row>
    <row r="3822" spans="1:1" x14ac:dyDescent="0.25">
      <c r="A3822" t="s">
        <v>2338</v>
      </c>
    </row>
    <row r="3823" spans="1:1" x14ac:dyDescent="0.25">
      <c r="A3823" t="s">
        <v>2339</v>
      </c>
    </row>
    <row r="3824" spans="1:1" x14ac:dyDescent="0.25">
      <c r="A3824" t="s">
        <v>2340</v>
      </c>
    </row>
    <row r="3825" spans="1:1" x14ac:dyDescent="0.25">
      <c r="A3825" t="s">
        <v>21</v>
      </c>
    </row>
    <row r="3827" spans="1:1" x14ac:dyDescent="0.25">
      <c r="A3827" t="s">
        <v>2341</v>
      </c>
    </row>
    <row r="3829" spans="1:1" x14ac:dyDescent="0.25">
      <c r="A3829" t="s">
        <v>2342</v>
      </c>
    </row>
    <row r="3830" spans="1:1" x14ac:dyDescent="0.25">
      <c r="A3830" t="s">
        <v>2343</v>
      </c>
    </row>
    <row r="3831" spans="1:1" x14ac:dyDescent="0.25">
      <c r="A3831" t="s">
        <v>2344</v>
      </c>
    </row>
    <row r="3832" spans="1:1" x14ac:dyDescent="0.25">
      <c r="A3832" t="s">
        <v>902</v>
      </c>
    </row>
    <row r="3833" spans="1:1" x14ac:dyDescent="0.25">
      <c r="A3833" t="s">
        <v>2345</v>
      </c>
    </row>
    <row r="3834" spans="1:1" x14ac:dyDescent="0.25">
      <c r="A3834" t="s">
        <v>2346</v>
      </c>
    </row>
    <row r="3835" spans="1:1" x14ac:dyDescent="0.25">
      <c r="A3835" t="s">
        <v>2347</v>
      </c>
    </row>
    <row r="3836" spans="1:1" x14ac:dyDescent="0.25">
      <c r="A3836" t="s">
        <v>2348</v>
      </c>
    </row>
    <row r="3837" spans="1:1" x14ac:dyDescent="0.25">
      <c r="A3837" t="s">
        <v>2349</v>
      </c>
    </row>
    <row r="3838" spans="1:1" x14ac:dyDescent="0.25">
      <c r="A3838" t="s">
        <v>2350</v>
      </c>
    </row>
    <row r="3839" spans="1:1" x14ac:dyDescent="0.25">
      <c r="A3839" t="s">
        <v>21</v>
      </c>
    </row>
    <row r="3842" spans="1:1" x14ac:dyDescent="0.25">
      <c r="A3842" t="s">
        <v>2351</v>
      </c>
    </row>
    <row r="3843" spans="1:1" x14ac:dyDescent="0.25">
      <c r="A3843" t="s">
        <v>2352</v>
      </c>
    </row>
    <row r="3844" spans="1:1" x14ac:dyDescent="0.25">
      <c r="A3844" t="s">
        <v>2353</v>
      </c>
    </row>
    <row r="3845" spans="1:1" x14ac:dyDescent="0.25">
      <c r="A3845" t="s">
        <v>2354</v>
      </c>
    </row>
    <row r="3846" spans="1:1" x14ac:dyDescent="0.25">
      <c r="A3846" t="s">
        <v>2355</v>
      </c>
    </row>
    <row r="3847" spans="1:1" x14ac:dyDescent="0.25">
      <c r="A3847" t="s">
        <v>2356</v>
      </c>
    </row>
    <row r="3848" spans="1:1" x14ac:dyDescent="0.25">
      <c r="A3848" t="s">
        <v>2357</v>
      </c>
    </row>
    <row r="3849" spans="1:1" x14ac:dyDescent="0.25">
      <c r="A3849" t="s">
        <v>2358</v>
      </c>
    </row>
    <row r="3850" spans="1:1" x14ac:dyDescent="0.25">
      <c r="A3850" t="s">
        <v>21</v>
      </c>
    </row>
    <row r="3852" spans="1:1" x14ac:dyDescent="0.25">
      <c r="A3852" t="s">
        <v>2359</v>
      </c>
    </row>
    <row r="3853" spans="1:1" x14ac:dyDescent="0.25">
      <c r="A3853" t="s">
        <v>2360</v>
      </c>
    </row>
    <row r="3854" spans="1:1" x14ac:dyDescent="0.25">
      <c r="A3854" t="s">
        <v>2355</v>
      </c>
    </row>
    <row r="3855" spans="1:1" x14ac:dyDescent="0.25">
      <c r="A3855" t="s">
        <v>2356</v>
      </c>
    </row>
    <row r="3856" spans="1:1" x14ac:dyDescent="0.25">
      <c r="A3856" t="s">
        <v>2361</v>
      </c>
    </row>
    <row r="3857" spans="1:1" x14ac:dyDescent="0.25">
      <c r="A3857" t="s">
        <v>2362</v>
      </c>
    </row>
    <row r="3858" spans="1:1" x14ac:dyDescent="0.25">
      <c r="A3858" t="s">
        <v>2363</v>
      </c>
    </row>
    <row r="3859" spans="1:1" x14ac:dyDescent="0.25">
      <c r="A3859" t="s">
        <v>2364</v>
      </c>
    </row>
    <row r="3860" spans="1:1" x14ac:dyDescent="0.25">
      <c r="A3860" t="s">
        <v>2365</v>
      </c>
    </row>
    <row r="3861" spans="1:1" x14ac:dyDescent="0.25">
      <c r="A3861" t="s">
        <v>268</v>
      </c>
    </row>
    <row r="3862" spans="1:1" x14ac:dyDescent="0.25">
      <c r="A3862" t="s">
        <v>2366</v>
      </c>
    </row>
    <row r="3863" spans="1:1" x14ac:dyDescent="0.25">
      <c r="A3863" t="s">
        <v>2367</v>
      </c>
    </row>
    <row r="3864" spans="1:1" x14ac:dyDescent="0.25">
      <c r="A3864" t="s">
        <v>2368</v>
      </c>
    </row>
    <row r="3865" spans="1:1" x14ac:dyDescent="0.25">
      <c r="A3865" t="s">
        <v>2369</v>
      </c>
    </row>
    <row r="3866" spans="1:1" x14ac:dyDescent="0.25">
      <c r="A3866" t="s">
        <v>2370</v>
      </c>
    </row>
    <row r="3867" spans="1:1" x14ac:dyDescent="0.25">
      <c r="A3867" t="s">
        <v>2371</v>
      </c>
    </row>
    <row r="3868" spans="1:1" x14ac:dyDescent="0.25">
      <c r="A3868" t="s">
        <v>2372</v>
      </c>
    </row>
    <row r="3869" spans="1:1" x14ac:dyDescent="0.25">
      <c r="A3869" t="s">
        <v>2373</v>
      </c>
    </row>
    <row r="3870" spans="1:1" x14ac:dyDescent="0.25">
      <c r="A3870" t="s">
        <v>2374</v>
      </c>
    </row>
    <row r="3871" spans="1:1" x14ac:dyDescent="0.25">
      <c r="A3871" t="s">
        <v>21</v>
      </c>
    </row>
    <row r="3873" spans="1:1" x14ac:dyDescent="0.25">
      <c r="A3873" t="s">
        <v>2375</v>
      </c>
    </row>
    <row r="3874" spans="1:1" x14ac:dyDescent="0.25">
      <c r="A3874" t="s">
        <v>2376</v>
      </c>
    </row>
    <row r="3875" spans="1:1" x14ac:dyDescent="0.25">
      <c r="A3875" t="s">
        <v>2377</v>
      </c>
    </row>
    <row r="3876" spans="1:1" x14ac:dyDescent="0.25">
      <c r="A3876" t="s">
        <v>2378</v>
      </c>
    </row>
    <row r="3877" spans="1:1" x14ac:dyDescent="0.25">
      <c r="A3877" t="s">
        <v>1270</v>
      </c>
    </row>
    <row r="3878" spans="1:1" x14ac:dyDescent="0.25">
      <c r="A3878" t="s">
        <v>2379</v>
      </c>
    </row>
    <row r="3879" spans="1:1" x14ac:dyDescent="0.25">
      <c r="A3879" t="s">
        <v>2380</v>
      </c>
    </row>
    <row r="3880" spans="1:1" x14ac:dyDescent="0.25">
      <c r="A3880" t="s">
        <v>2381</v>
      </c>
    </row>
    <row r="3881" spans="1:1" x14ac:dyDescent="0.25">
      <c r="A3881" t="s">
        <v>1282</v>
      </c>
    </row>
    <row r="3882" spans="1:1" x14ac:dyDescent="0.25">
      <c r="A3882" t="s">
        <v>21</v>
      </c>
    </row>
    <row r="3885" spans="1:1" x14ac:dyDescent="0.25">
      <c r="A3885" t="s">
        <v>2382</v>
      </c>
    </row>
    <row r="3886" spans="1:1" x14ac:dyDescent="0.25">
      <c r="A3886" t="s">
        <v>2383</v>
      </c>
    </row>
    <row r="3887" spans="1:1" x14ac:dyDescent="0.25">
      <c r="A3887" t="s">
        <v>2384</v>
      </c>
    </row>
    <row r="3888" spans="1:1" x14ac:dyDescent="0.25">
      <c r="A3888" t="s">
        <v>2385</v>
      </c>
    </row>
    <row r="3889" spans="1:1" x14ac:dyDescent="0.25">
      <c r="A3889" t="s">
        <v>2386</v>
      </c>
    </row>
    <row r="3890" spans="1:1" x14ac:dyDescent="0.25">
      <c r="A3890" t="s">
        <v>2387</v>
      </c>
    </row>
    <row r="3891" spans="1:1" x14ac:dyDescent="0.25">
      <c r="A3891" t="s">
        <v>479</v>
      </c>
    </row>
    <row r="3893" spans="1:1" x14ac:dyDescent="0.25">
      <c r="A3893" t="s">
        <v>2388</v>
      </c>
    </row>
    <row r="3894" spans="1:1" x14ac:dyDescent="0.25">
      <c r="A3894" t="s">
        <v>941</v>
      </c>
    </row>
    <row r="3895" spans="1:1" x14ac:dyDescent="0.25">
      <c r="A3895" t="s">
        <v>942</v>
      </c>
    </row>
    <row r="3896" spans="1:1" x14ac:dyDescent="0.25">
      <c r="A3896" t="s">
        <v>883</v>
      </c>
    </row>
    <row r="3897" spans="1:1" x14ac:dyDescent="0.25">
      <c r="A3897" t="s">
        <v>943</v>
      </c>
    </row>
    <row r="3898" spans="1:1" x14ac:dyDescent="0.25">
      <c r="A3898" t="s">
        <v>944</v>
      </c>
    </row>
    <row r="3899" spans="1:1" x14ac:dyDescent="0.25">
      <c r="A3899" t="s">
        <v>945</v>
      </c>
    </row>
    <row r="3900" spans="1:1" x14ac:dyDescent="0.25">
      <c r="A3900" t="s">
        <v>583</v>
      </c>
    </row>
    <row r="3901" spans="1:1" x14ac:dyDescent="0.25">
      <c r="A3901" t="s">
        <v>168</v>
      </c>
    </row>
    <row r="3902" spans="1:1" x14ac:dyDescent="0.25">
      <c r="A3902" t="s">
        <v>946</v>
      </c>
    </row>
    <row r="3903" spans="1:1" x14ac:dyDescent="0.25">
      <c r="A3903" t="s">
        <v>21</v>
      </c>
    </row>
    <row r="3904" spans="1:1" x14ac:dyDescent="0.25">
      <c r="A3904" t="s">
        <v>1316</v>
      </c>
    </row>
    <row r="3905" spans="1:1" x14ac:dyDescent="0.25">
      <c r="A3905" t="s">
        <v>1500</v>
      </c>
    </row>
    <row r="3906" spans="1:1" x14ac:dyDescent="0.25">
      <c r="A3906" t="s">
        <v>1600</v>
      </c>
    </row>
    <row r="3907" spans="1:1" x14ac:dyDescent="0.25">
      <c r="A3907" t="s">
        <v>21</v>
      </c>
    </row>
    <row r="3908" spans="1:1" x14ac:dyDescent="0.25">
      <c r="A3908" t="s">
        <v>2389</v>
      </c>
    </row>
    <row r="3909" spans="1:1" x14ac:dyDescent="0.25">
      <c r="A3909" t="s">
        <v>2390</v>
      </c>
    </row>
    <row r="3910" spans="1:1" x14ac:dyDescent="0.25">
      <c r="A3910" t="s">
        <v>2391</v>
      </c>
    </row>
    <row r="3911" spans="1:1" x14ac:dyDescent="0.25">
      <c r="A3911" t="s">
        <v>2392</v>
      </c>
    </row>
    <row r="3912" spans="1:1" x14ac:dyDescent="0.25">
      <c r="A3912" t="s">
        <v>476</v>
      </c>
    </row>
    <row r="3913" spans="1:1" x14ac:dyDescent="0.25">
      <c r="A3913" t="s">
        <v>2393</v>
      </c>
    </row>
    <row r="3914" spans="1:1" x14ac:dyDescent="0.25">
      <c r="A3914" t="s">
        <v>478</v>
      </c>
    </row>
    <row r="3915" spans="1:1" x14ac:dyDescent="0.25">
      <c r="A3915" t="s">
        <v>2394</v>
      </c>
    </row>
    <row r="3916" spans="1:1" x14ac:dyDescent="0.25">
      <c r="A3916" t="s">
        <v>479</v>
      </c>
    </row>
    <row r="3917" spans="1:1" x14ac:dyDescent="0.25">
      <c r="A3917" t="s">
        <v>1636</v>
      </c>
    </row>
    <row r="3918" spans="1:1" x14ac:dyDescent="0.25">
      <c r="A3918" t="s">
        <v>1637</v>
      </c>
    </row>
    <row r="3919" spans="1:1" x14ac:dyDescent="0.25">
      <c r="A3919" t="s">
        <v>1638</v>
      </c>
    </row>
    <row r="3920" spans="1:1" x14ac:dyDescent="0.25">
      <c r="A3920" t="s">
        <v>1639</v>
      </c>
    </row>
    <row r="3921" spans="1:1" x14ac:dyDescent="0.25">
      <c r="A3921" t="s">
        <v>479</v>
      </c>
    </row>
    <row r="3922" spans="1:1" x14ac:dyDescent="0.25">
      <c r="A3922" t="s">
        <v>2395</v>
      </c>
    </row>
    <row r="3923" spans="1:1" x14ac:dyDescent="0.25">
      <c r="A3923" t="s">
        <v>2396</v>
      </c>
    </row>
    <row r="3924" spans="1:1" x14ac:dyDescent="0.25">
      <c r="A3924" t="s">
        <v>2397</v>
      </c>
    </row>
    <row r="3925" spans="1:1" x14ac:dyDescent="0.25">
      <c r="A3925" t="s">
        <v>2398</v>
      </c>
    </row>
    <row r="3926" spans="1:1" x14ac:dyDescent="0.25">
      <c r="A3926" t="s">
        <v>479</v>
      </c>
    </row>
    <row r="3927" spans="1:1" x14ac:dyDescent="0.25">
      <c r="A3927" t="s">
        <v>2399</v>
      </c>
    </row>
    <row r="3928" spans="1:1" x14ac:dyDescent="0.25">
      <c r="A3928" t="s">
        <v>2400</v>
      </c>
    </row>
    <row r="3929" spans="1:1" x14ac:dyDescent="0.25">
      <c r="A3929" t="s">
        <v>2401</v>
      </c>
    </row>
    <row r="3930" spans="1:1" x14ac:dyDescent="0.25">
      <c r="A3930" t="s">
        <v>2402</v>
      </c>
    </row>
    <row r="3931" spans="1:1" x14ac:dyDescent="0.25">
      <c r="A3931" t="s">
        <v>479</v>
      </c>
    </row>
    <row r="3932" spans="1:1" x14ac:dyDescent="0.25">
      <c r="A3932" t="s">
        <v>2403</v>
      </c>
    </row>
    <row r="3933" spans="1:1" x14ac:dyDescent="0.25">
      <c r="A3933" t="s">
        <v>1637</v>
      </c>
    </row>
    <row r="3934" spans="1:1" x14ac:dyDescent="0.25">
      <c r="A3934" t="s">
        <v>1638</v>
      </c>
    </row>
    <row r="3935" spans="1:1" x14ac:dyDescent="0.25">
      <c r="A3935" t="s">
        <v>1639</v>
      </c>
    </row>
    <row r="3936" spans="1:1" x14ac:dyDescent="0.25">
      <c r="A3936" t="s">
        <v>479</v>
      </c>
    </row>
    <row r="3937" spans="1:1" x14ac:dyDescent="0.25">
      <c r="A3937" t="s">
        <v>2404</v>
      </c>
    </row>
    <row r="3938" spans="1:1" x14ac:dyDescent="0.25">
      <c r="A3938" t="s">
        <v>2396</v>
      </c>
    </row>
    <row r="3939" spans="1:1" x14ac:dyDescent="0.25">
      <c r="A3939" t="s">
        <v>2397</v>
      </c>
    </row>
    <row r="3940" spans="1:1" x14ac:dyDescent="0.25">
      <c r="A3940" t="s">
        <v>2398</v>
      </c>
    </row>
    <row r="3941" spans="1:1" x14ac:dyDescent="0.25">
      <c r="A3941" t="s">
        <v>479</v>
      </c>
    </row>
    <row r="3943" spans="1:1" x14ac:dyDescent="0.25">
      <c r="A3943" t="s">
        <v>1608</v>
      </c>
    </row>
    <row r="3944" spans="1:1" x14ac:dyDescent="0.25">
      <c r="A3944" t="s">
        <v>1609</v>
      </c>
    </row>
    <row r="3945" spans="1:1" x14ac:dyDescent="0.25">
      <c r="A3945" t="s">
        <v>1610</v>
      </c>
    </row>
    <row r="3946" spans="1:1" x14ac:dyDescent="0.25">
      <c r="A3946" t="s">
        <v>1611</v>
      </c>
    </row>
    <row r="3947" spans="1:1" x14ac:dyDescent="0.25">
      <c r="A3947" t="s">
        <v>1612</v>
      </c>
    </row>
    <row r="3948" spans="1:1" x14ac:dyDescent="0.25">
      <c r="A3948" t="s">
        <v>1613</v>
      </c>
    </row>
    <row r="3949" spans="1:1" x14ac:dyDescent="0.25">
      <c r="A3949" t="s">
        <v>1614</v>
      </c>
    </row>
    <row r="3950" spans="1:1" x14ac:dyDescent="0.25">
      <c r="A3950" t="s">
        <v>1615</v>
      </c>
    </row>
    <row r="3951" spans="1:1" x14ac:dyDescent="0.25">
      <c r="A3951" t="s">
        <v>1616</v>
      </c>
    </row>
    <row r="3952" spans="1:1" x14ac:dyDescent="0.25">
      <c r="A3952" t="s">
        <v>1617</v>
      </c>
    </row>
    <row r="3953" spans="1:1" x14ac:dyDescent="0.25">
      <c r="A3953" t="s">
        <v>1618</v>
      </c>
    </row>
    <row r="3954" spans="1:1" x14ac:dyDescent="0.25">
      <c r="A3954" t="s">
        <v>1619</v>
      </c>
    </row>
    <row r="3955" spans="1:1" x14ac:dyDescent="0.25">
      <c r="A3955" t="s">
        <v>21</v>
      </c>
    </row>
    <row r="3957" spans="1:1" x14ac:dyDescent="0.25">
      <c r="A3957" t="s">
        <v>1620</v>
      </c>
    </row>
    <row r="3958" spans="1:1" x14ac:dyDescent="0.25">
      <c r="A3958" t="s">
        <v>1621</v>
      </c>
    </row>
    <row r="3959" spans="1:1" x14ac:dyDescent="0.25">
      <c r="A3959" t="s">
        <v>1622</v>
      </c>
    </row>
    <row r="3960" spans="1:1" x14ac:dyDescent="0.25">
      <c r="A3960" t="s">
        <v>1623</v>
      </c>
    </row>
    <row r="3961" spans="1:1" x14ac:dyDescent="0.25">
      <c r="A3961" t="s">
        <v>1624</v>
      </c>
    </row>
    <row r="3962" spans="1:1" x14ac:dyDescent="0.25">
      <c r="A3962" t="s">
        <v>21</v>
      </c>
    </row>
    <row r="3964" spans="1:1" x14ac:dyDescent="0.25">
      <c r="A3964" t="s">
        <v>1263</v>
      </c>
    </row>
    <row r="3965" spans="1:1" x14ac:dyDescent="0.25">
      <c r="A3965" t="s">
        <v>2405</v>
      </c>
    </row>
    <row r="3966" spans="1:1" x14ac:dyDescent="0.25">
      <c r="A3966" t="s">
        <v>2406</v>
      </c>
    </row>
    <row r="3967" spans="1:1" x14ac:dyDescent="0.25">
      <c r="A3967" t="s">
        <v>2407</v>
      </c>
    </row>
    <row r="3968" spans="1:1" x14ac:dyDescent="0.25">
      <c r="A3968" t="s">
        <v>2408</v>
      </c>
    </row>
    <row r="3969" spans="1:1" x14ac:dyDescent="0.25">
      <c r="A3969" t="s">
        <v>2409</v>
      </c>
    </row>
    <row r="3970" spans="1:1" x14ac:dyDescent="0.25">
      <c r="A3970" t="s">
        <v>2410</v>
      </c>
    </row>
    <row r="3971" spans="1:1" x14ac:dyDescent="0.25">
      <c r="A3971" t="s">
        <v>2411</v>
      </c>
    </row>
    <row r="3972" spans="1:1" x14ac:dyDescent="0.25">
      <c r="A3972" t="s">
        <v>2412</v>
      </c>
    </row>
    <row r="3973" spans="1:1" x14ac:dyDescent="0.25">
      <c r="A3973" t="s">
        <v>2413</v>
      </c>
    </row>
    <row r="3974" spans="1:1" x14ac:dyDescent="0.25">
      <c r="A3974" t="s">
        <v>2414</v>
      </c>
    </row>
    <row r="3975" spans="1:1" x14ac:dyDescent="0.25">
      <c r="A3975" t="s">
        <v>1210</v>
      </c>
    </row>
    <row r="3976" spans="1:1" x14ac:dyDescent="0.25">
      <c r="A3976" t="s">
        <v>1260</v>
      </c>
    </row>
    <row r="3977" spans="1:1" x14ac:dyDescent="0.25">
      <c r="A3977" t="s">
        <v>1213</v>
      </c>
    </row>
    <row r="3978" spans="1:1" x14ac:dyDescent="0.25">
      <c r="A3978" t="s">
        <v>1214</v>
      </c>
    </row>
    <row r="3979" spans="1:1" x14ac:dyDescent="0.25">
      <c r="A3979" t="s">
        <v>2415</v>
      </c>
    </row>
    <row r="3980" spans="1:1" x14ac:dyDescent="0.25">
      <c r="A3980" t="s">
        <v>1262</v>
      </c>
    </row>
    <row r="3981" spans="1:1" x14ac:dyDescent="0.25">
      <c r="A3981" t="s">
        <v>21</v>
      </c>
    </row>
    <row r="3982" spans="1:1" x14ac:dyDescent="0.25">
      <c r="A3982" t="s">
        <v>1204</v>
      </c>
    </row>
    <row r="3983" spans="1:1" x14ac:dyDescent="0.25">
      <c r="A3983" t="s">
        <v>1205</v>
      </c>
    </row>
    <row r="3984" spans="1:1" x14ac:dyDescent="0.25">
      <c r="A3984" t="s">
        <v>1206</v>
      </c>
    </row>
    <row r="3985" spans="1:1" x14ac:dyDescent="0.25">
      <c r="A3985" t="s">
        <v>1207</v>
      </c>
    </row>
    <row r="3986" spans="1:1" x14ac:dyDescent="0.25">
      <c r="A3986" t="s">
        <v>2416</v>
      </c>
    </row>
    <row r="3987" spans="1:1" x14ac:dyDescent="0.25">
      <c r="A3987" t="s">
        <v>1219</v>
      </c>
    </row>
    <row r="3988" spans="1:1" x14ac:dyDescent="0.25">
      <c r="A3988" t="s">
        <v>1209</v>
      </c>
    </row>
    <row r="3989" spans="1:1" x14ac:dyDescent="0.25">
      <c r="A3989" t="s">
        <v>1210</v>
      </c>
    </row>
    <row r="3990" spans="1:1" x14ac:dyDescent="0.25">
      <c r="A3990" t="s">
        <v>2417</v>
      </c>
    </row>
    <row r="3991" spans="1:1" x14ac:dyDescent="0.25">
      <c r="A3991" t="s">
        <v>2418</v>
      </c>
    </row>
    <row r="3992" spans="1:1" x14ac:dyDescent="0.25">
      <c r="A3992" t="s">
        <v>1213</v>
      </c>
    </row>
    <row r="3993" spans="1:1" x14ac:dyDescent="0.25">
      <c r="A3993" t="s">
        <v>1214</v>
      </c>
    </row>
    <row r="3994" spans="1:1" x14ac:dyDescent="0.25">
      <c r="A3994" t="s">
        <v>1215</v>
      </c>
    </row>
    <row r="3995" spans="1:1" x14ac:dyDescent="0.25">
      <c r="A3995" t="s">
        <v>1216</v>
      </c>
    </row>
    <row r="3996" spans="1:1" x14ac:dyDescent="0.25">
      <c r="A3996" t="s">
        <v>21</v>
      </c>
    </row>
    <row r="3997" spans="1:1" x14ac:dyDescent="0.25">
      <c r="A3997" t="s">
        <v>2419</v>
      </c>
    </row>
    <row r="3998" spans="1:1" x14ac:dyDescent="0.25">
      <c r="A3998" t="s">
        <v>2420</v>
      </c>
    </row>
    <row r="3999" spans="1:1" x14ac:dyDescent="0.25">
      <c r="A3999" t="s">
        <v>1677</v>
      </c>
    </row>
    <row r="4000" spans="1:1" x14ac:dyDescent="0.25">
      <c r="A4000" t="s">
        <v>1209</v>
      </c>
    </row>
    <row r="4001" spans="1:1" x14ac:dyDescent="0.25">
      <c r="A4001" t="s">
        <v>1210</v>
      </c>
    </row>
    <row r="4002" spans="1:1" x14ac:dyDescent="0.25">
      <c r="A4002" t="s">
        <v>1213</v>
      </c>
    </row>
    <row r="4003" spans="1:1" x14ac:dyDescent="0.25">
      <c r="A4003" t="s">
        <v>1678</v>
      </c>
    </row>
    <row r="4004" spans="1:1" x14ac:dyDescent="0.25">
      <c r="A4004" t="s">
        <v>2421</v>
      </c>
    </row>
    <row r="4005" spans="1:1" x14ac:dyDescent="0.25">
      <c r="A4005" t="s">
        <v>1214</v>
      </c>
    </row>
    <row r="4006" spans="1:1" x14ac:dyDescent="0.25">
      <c r="A4006" t="s">
        <v>21</v>
      </c>
    </row>
    <row r="4007" spans="1:1" x14ac:dyDescent="0.25">
      <c r="A4007" t="s">
        <v>1217</v>
      </c>
    </row>
    <row r="4008" spans="1:1" x14ac:dyDescent="0.25">
      <c r="A4008" t="s">
        <v>1218</v>
      </c>
    </row>
    <row r="4009" spans="1:1" x14ac:dyDescent="0.25">
      <c r="A4009" t="s">
        <v>1206</v>
      </c>
    </row>
    <row r="4010" spans="1:1" x14ac:dyDescent="0.25">
      <c r="A4010" t="s">
        <v>1207</v>
      </c>
    </row>
    <row r="4011" spans="1:1" x14ac:dyDescent="0.25">
      <c r="A4011" t="s">
        <v>1219</v>
      </c>
    </row>
    <row r="4012" spans="1:1" x14ac:dyDescent="0.25">
      <c r="A4012" t="s">
        <v>1220</v>
      </c>
    </row>
    <row r="4013" spans="1:1" x14ac:dyDescent="0.25">
      <c r="A4013" t="s">
        <v>1221</v>
      </c>
    </row>
    <row r="4014" spans="1:1" x14ac:dyDescent="0.25">
      <c r="A4014" t="s">
        <v>1209</v>
      </c>
    </row>
    <row r="4015" spans="1:1" x14ac:dyDescent="0.25">
      <c r="A4015" t="s">
        <v>1222</v>
      </c>
    </row>
    <row r="4016" spans="1:1" x14ac:dyDescent="0.25">
      <c r="A4016" t="s">
        <v>1223</v>
      </c>
    </row>
    <row r="4017" spans="1:1" x14ac:dyDescent="0.25">
      <c r="A4017" t="s">
        <v>1224</v>
      </c>
    </row>
    <row r="4018" spans="1:1" x14ac:dyDescent="0.25">
      <c r="A4018" t="s">
        <v>1225</v>
      </c>
    </row>
    <row r="4019" spans="1:1" x14ac:dyDescent="0.25">
      <c r="A4019" t="s">
        <v>1226</v>
      </c>
    </row>
    <row r="4020" spans="1:1" x14ac:dyDescent="0.25">
      <c r="A4020" t="s">
        <v>1213</v>
      </c>
    </row>
    <row r="4021" spans="1:1" x14ac:dyDescent="0.25">
      <c r="A4021" t="s">
        <v>1214</v>
      </c>
    </row>
    <row r="4022" spans="1:1" x14ac:dyDescent="0.25">
      <c r="A4022" t="s">
        <v>1215</v>
      </c>
    </row>
    <row r="4023" spans="1:1" x14ac:dyDescent="0.25">
      <c r="A4023" t="s">
        <v>1227</v>
      </c>
    </row>
    <row r="4024" spans="1:1" x14ac:dyDescent="0.25">
      <c r="A4024" t="s">
        <v>21</v>
      </c>
    </row>
    <row r="4025" spans="1:1" x14ac:dyDescent="0.25">
      <c r="A4025" t="s">
        <v>2422</v>
      </c>
    </row>
    <row r="4026" spans="1:1" x14ac:dyDescent="0.25">
      <c r="A4026" t="s">
        <v>2423</v>
      </c>
    </row>
    <row r="4027" spans="1:1" x14ac:dyDescent="0.25">
      <c r="A4027" t="s">
        <v>2424</v>
      </c>
    </row>
    <row r="4028" spans="1:1" x14ac:dyDescent="0.25">
      <c r="A4028" t="s">
        <v>2425</v>
      </c>
    </row>
    <row r="4029" spans="1:1" x14ac:dyDescent="0.25">
      <c r="A4029" t="s">
        <v>2426</v>
      </c>
    </row>
    <row r="4030" spans="1:1" x14ac:dyDescent="0.25">
      <c r="A4030" t="s">
        <v>2427</v>
      </c>
    </row>
    <row r="4031" spans="1:1" x14ac:dyDescent="0.25">
      <c r="A4031" t="s">
        <v>2428</v>
      </c>
    </row>
    <row r="4032" spans="1:1" x14ac:dyDescent="0.25">
      <c r="A4032" t="s">
        <v>2429</v>
      </c>
    </row>
    <row r="4033" spans="1:1" x14ac:dyDescent="0.25">
      <c r="A4033" t="s">
        <v>2430</v>
      </c>
    </row>
    <row r="4034" spans="1:1" x14ac:dyDescent="0.25">
      <c r="A4034" t="s">
        <v>2431</v>
      </c>
    </row>
    <row r="4035" spans="1:1" x14ac:dyDescent="0.25">
      <c r="A4035" t="s">
        <v>2432</v>
      </c>
    </row>
    <row r="4036" spans="1:1" x14ac:dyDescent="0.25">
      <c r="A4036" t="s">
        <v>2433</v>
      </c>
    </row>
    <row r="4037" spans="1:1" x14ac:dyDescent="0.25">
      <c r="A4037" t="s">
        <v>2434</v>
      </c>
    </row>
    <row r="4038" spans="1:1" x14ac:dyDescent="0.25">
      <c r="A4038" t="s">
        <v>2435</v>
      </c>
    </row>
    <row r="4040" spans="1:1" x14ac:dyDescent="0.25">
      <c r="A4040" t="s">
        <v>891</v>
      </c>
    </row>
    <row r="4041" spans="1:1" x14ac:dyDescent="0.25">
      <c r="A4041" t="s">
        <v>883</v>
      </c>
    </row>
    <row r="4042" spans="1:1" x14ac:dyDescent="0.25">
      <c r="A4042" t="s">
        <v>884</v>
      </c>
    </row>
    <row r="4043" spans="1:1" x14ac:dyDescent="0.25">
      <c r="A4043" t="s">
        <v>892</v>
      </c>
    </row>
    <row r="4044" spans="1:1" x14ac:dyDescent="0.25">
      <c r="A4044" t="s">
        <v>168</v>
      </c>
    </row>
    <row r="4045" spans="1:1" x14ac:dyDescent="0.25">
      <c r="A4045" t="s">
        <v>886</v>
      </c>
    </row>
    <row r="4046" spans="1:1" x14ac:dyDescent="0.25">
      <c r="A4046" t="s">
        <v>893</v>
      </c>
    </row>
    <row r="4047" spans="1:1" x14ac:dyDescent="0.25">
      <c r="A4047" t="s">
        <v>583</v>
      </c>
    </row>
    <row r="4048" spans="1:1" x14ac:dyDescent="0.25">
      <c r="A4048" t="s">
        <v>888</v>
      </c>
    </row>
    <row r="4049" spans="1:1" x14ac:dyDescent="0.25">
      <c r="A4049" t="s">
        <v>894</v>
      </c>
    </row>
    <row r="4050" spans="1:1" x14ac:dyDescent="0.25">
      <c r="A4050" t="s">
        <v>890</v>
      </c>
    </row>
    <row r="4051" spans="1:1" x14ac:dyDescent="0.25">
      <c r="A4051" t="s">
        <v>21</v>
      </c>
    </row>
    <row r="4053" spans="1:1" x14ac:dyDescent="0.25">
      <c r="A4053" t="s">
        <v>1561</v>
      </c>
    </row>
    <row r="4054" spans="1:1" x14ac:dyDescent="0.25">
      <c r="A4054" t="s">
        <v>507</v>
      </c>
    </row>
    <row r="4055" spans="1:1" x14ac:dyDescent="0.25">
      <c r="A4055" t="s">
        <v>1562</v>
      </c>
    </row>
    <row r="4056" spans="1:1" x14ac:dyDescent="0.25">
      <c r="A4056" t="s">
        <v>1563</v>
      </c>
    </row>
    <row r="4057" spans="1:1" x14ac:dyDescent="0.25">
      <c r="A4057" t="s">
        <v>1564</v>
      </c>
    </row>
    <row r="4058" spans="1:1" x14ac:dyDescent="0.25">
      <c r="A4058" t="s">
        <v>1565</v>
      </c>
    </row>
    <row r="4059" spans="1:1" x14ac:dyDescent="0.25">
      <c r="A4059" t="s">
        <v>1566</v>
      </c>
    </row>
    <row r="4060" spans="1:1" x14ac:dyDescent="0.25">
      <c r="A4060" t="s">
        <v>2436</v>
      </c>
    </row>
    <row r="4061" spans="1:1" x14ac:dyDescent="0.25">
      <c r="A4061" t="s">
        <v>2437</v>
      </c>
    </row>
    <row r="4062" spans="1:1" x14ac:dyDescent="0.25">
      <c r="A4062" t="s">
        <v>1569</v>
      </c>
    </row>
    <row r="4063" spans="1:1" x14ac:dyDescent="0.25">
      <c r="A4063" t="s">
        <v>2438</v>
      </c>
    </row>
    <row r="4064" spans="1:1" x14ac:dyDescent="0.25">
      <c r="A4064" t="s">
        <v>2439</v>
      </c>
    </row>
    <row r="4065" spans="1:1" x14ac:dyDescent="0.25">
      <c r="A4065" t="s">
        <v>2440</v>
      </c>
    </row>
    <row r="4066" spans="1:1" x14ac:dyDescent="0.25">
      <c r="A4066" t="s">
        <v>21</v>
      </c>
    </row>
    <row r="4068" spans="1:1" x14ac:dyDescent="0.25">
      <c r="A4068" t="s">
        <v>2441</v>
      </c>
    </row>
    <row r="4069" spans="1:1" x14ac:dyDescent="0.25">
      <c r="A4069" t="s">
        <v>156</v>
      </c>
    </row>
    <row r="4070" spans="1:1" x14ac:dyDescent="0.25">
      <c r="A4070" t="s">
        <v>2442</v>
      </c>
    </row>
    <row r="4071" spans="1:1" x14ac:dyDescent="0.25">
      <c r="A4071" t="s">
        <v>2443</v>
      </c>
    </row>
    <row r="4072" spans="1:1" x14ac:dyDescent="0.25">
      <c r="A4072" t="s">
        <v>222</v>
      </c>
    </row>
    <row r="4073" spans="1:1" x14ac:dyDescent="0.25">
      <c r="A4073" t="s">
        <v>2444</v>
      </c>
    </row>
    <row r="4074" spans="1:1" x14ac:dyDescent="0.25">
      <c r="A4074" t="s">
        <v>2445</v>
      </c>
    </row>
    <row r="4075" spans="1:1" x14ac:dyDescent="0.25">
      <c r="A4075" t="s">
        <v>2446</v>
      </c>
    </row>
    <row r="4076" spans="1:1" x14ac:dyDescent="0.25">
      <c r="A4076" t="s">
        <v>2447</v>
      </c>
    </row>
    <row r="4077" spans="1:1" x14ac:dyDescent="0.25">
      <c r="A4077" t="s">
        <v>2448</v>
      </c>
    </row>
    <row r="4078" spans="1:1" x14ac:dyDescent="0.25">
      <c r="A4078" t="s">
        <v>168</v>
      </c>
    </row>
    <row r="4079" spans="1:1" x14ac:dyDescent="0.25">
      <c r="A4079" t="s">
        <v>21</v>
      </c>
    </row>
    <row r="4081" spans="1:1" x14ac:dyDescent="0.25">
      <c r="A4081" t="s">
        <v>2449</v>
      </c>
    </row>
    <row r="4082" spans="1:1" x14ac:dyDescent="0.25">
      <c r="A4082" t="s">
        <v>507</v>
      </c>
    </row>
    <row r="4083" spans="1:1" x14ac:dyDescent="0.25">
      <c r="A4083" t="s">
        <v>606</v>
      </c>
    </row>
    <row r="4084" spans="1:1" x14ac:dyDescent="0.25">
      <c r="A4084" t="s">
        <v>607</v>
      </c>
    </row>
    <row r="4085" spans="1:1" x14ac:dyDescent="0.25">
      <c r="A4085" t="s">
        <v>608</v>
      </c>
    </row>
    <row r="4086" spans="1:1" x14ac:dyDescent="0.25">
      <c r="A4086" t="s">
        <v>609</v>
      </c>
    </row>
    <row r="4087" spans="1:1" x14ac:dyDescent="0.25">
      <c r="A4087" t="s">
        <v>2450</v>
      </c>
    </row>
    <row r="4088" spans="1:1" x14ac:dyDescent="0.25">
      <c r="A4088" t="s">
        <v>611</v>
      </c>
    </row>
    <row r="4089" spans="1:1" x14ac:dyDescent="0.25">
      <c r="A4089" t="s">
        <v>612</v>
      </c>
    </row>
    <row r="4090" spans="1:1" x14ac:dyDescent="0.25">
      <c r="A4090" t="s">
        <v>234</v>
      </c>
    </row>
    <row r="4091" spans="1:1" x14ac:dyDescent="0.25">
      <c r="A4091" t="s">
        <v>613</v>
      </c>
    </row>
    <row r="4092" spans="1:1" x14ac:dyDescent="0.25">
      <c r="A4092" t="s">
        <v>614</v>
      </c>
    </row>
    <row r="4093" spans="1:1" x14ac:dyDescent="0.25">
      <c r="A4093" t="s">
        <v>615</v>
      </c>
    </row>
    <row r="4094" spans="1:1" x14ac:dyDescent="0.25">
      <c r="A4094" t="s">
        <v>616</v>
      </c>
    </row>
    <row r="4095" spans="1:1" x14ac:dyDescent="0.25">
      <c r="A4095" t="s">
        <v>617</v>
      </c>
    </row>
    <row r="4096" spans="1:1" x14ac:dyDescent="0.25">
      <c r="A4096" t="s">
        <v>618</v>
      </c>
    </row>
    <row r="4097" spans="1:1" x14ac:dyDescent="0.25">
      <c r="A4097" t="s">
        <v>619</v>
      </c>
    </row>
    <row r="4098" spans="1:1" x14ac:dyDescent="0.25">
      <c r="A4098" t="s">
        <v>620</v>
      </c>
    </row>
    <row r="4099" spans="1:1" x14ac:dyDescent="0.25">
      <c r="A4099" t="s">
        <v>168</v>
      </c>
    </row>
    <row r="4100" spans="1:1" x14ac:dyDescent="0.25">
      <c r="A4100" t="s">
        <v>21</v>
      </c>
    </row>
    <row r="4102" spans="1:1" x14ac:dyDescent="0.25">
      <c r="A4102" t="s">
        <v>621</v>
      </c>
    </row>
    <row r="4103" spans="1:1" x14ac:dyDescent="0.25">
      <c r="A4103" t="s">
        <v>622</v>
      </c>
    </row>
    <row r="4104" spans="1:1" x14ac:dyDescent="0.25">
      <c r="A4104" t="s">
        <v>623</v>
      </c>
    </row>
    <row r="4105" spans="1:1" x14ac:dyDescent="0.25">
      <c r="A4105" t="s">
        <v>624</v>
      </c>
    </row>
    <row r="4106" spans="1:1" x14ac:dyDescent="0.25">
      <c r="A4106" t="s">
        <v>625</v>
      </c>
    </row>
    <row r="4107" spans="1:1" x14ac:dyDescent="0.25">
      <c r="A4107" t="s">
        <v>626</v>
      </c>
    </row>
    <row r="4108" spans="1:1" x14ac:dyDescent="0.25">
      <c r="A4108" t="s">
        <v>627</v>
      </c>
    </row>
    <row r="4109" spans="1:1" x14ac:dyDescent="0.25">
      <c r="A4109" t="s">
        <v>555</v>
      </c>
    </row>
    <row r="4110" spans="1:1" x14ac:dyDescent="0.25">
      <c r="A4110" t="s">
        <v>21</v>
      </c>
    </row>
    <row r="4112" spans="1:1" x14ac:dyDescent="0.25">
      <c r="A4112" t="s">
        <v>2451</v>
      </c>
    </row>
    <row r="4113" spans="1:1" x14ac:dyDescent="0.25">
      <c r="A4113" t="s">
        <v>2452</v>
      </c>
    </row>
    <row r="4114" spans="1:1" x14ac:dyDescent="0.25">
      <c r="A4114" t="s">
        <v>2453</v>
      </c>
    </row>
    <row r="4115" spans="1:1" x14ac:dyDescent="0.25">
      <c r="A4115" t="s">
        <v>495</v>
      </c>
    </row>
    <row r="4116" spans="1:1" x14ac:dyDescent="0.25">
      <c r="A4116" t="s">
        <v>2454</v>
      </c>
    </row>
    <row r="4117" spans="1:1" x14ac:dyDescent="0.25">
      <c r="A4117" t="s">
        <v>2455</v>
      </c>
    </row>
    <row r="4118" spans="1:1" x14ac:dyDescent="0.25">
      <c r="A4118" t="s">
        <v>278</v>
      </c>
    </row>
    <row r="4119" spans="1:1" x14ac:dyDescent="0.25">
      <c r="A4119" t="s">
        <v>2456</v>
      </c>
    </row>
    <row r="4120" spans="1:1" x14ac:dyDescent="0.25">
      <c r="A4120" t="s">
        <v>21</v>
      </c>
    </row>
    <row r="4121" spans="1:1" x14ac:dyDescent="0.25">
      <c r="A4121" t="s">
        <v>2457</v>
      </c>
    </row>
    <row r="4122" spans="1:1" x14ac:dyDescent="0.25">
      <c r="A4122" t="s">
        <v>2452</v>
      </c>
    </row>
    <row r="4123" spans="1:1" x14ac:dyDescent="0.25">
      <c r="A4123" t="s">
        <v>2453</v>
      </c>
    </row>
    <row r="4124" spans="1:1" x14ac:dyDescent="0.25">
      <c r="A4124" t="s">
        <v>495</v>
      </c>
    </row>
    <row r="4125" spans="1:1" x14ac:dyDescent="0.25">
      <c r="A4125" t="s">
        <v>2458</v>
      </c>
    </row>
    <row r="4126" spans="1:1" x14ac:dyDescent="0.25">
      <c r="A4126" t="s">
        <v>278</v>
      </c>
    </row>
    <row r="4127" spans="1:1" x14ac:dyDescent="0.25">
      <c r="A4127" t="s">
        <v>2459</v>
      </c>
    </row>
    <row r="4128" spans="1:1" x14ac:dyDescent="0.25">
      <c r="A4128" t="s">
        <v>21</v>
      </c>
    </row>
    <row r="4130" spans="1:1" x14ac:dyDescent="0.25">
      <c r="A4130" t="s">
        <v>2460</v>
      </c>
    </row>
    <row r="4131" spans="1:1" x14ac:dyDescent="0.25">
      <c r="A4131" t="s">
        <v>2461</v>
      </c>
    </row>
    <row r="4132" spans="1:1" x14ac:dyDescent="0.25">
      <c r="A4132" t="s">
        <v>2462</v>
      </c>
    </row>
    <row r="4133" spans="1:1" x14ac:dyDescent="0.25">
      <c r="A4133" t="s">
        <v>21</v>
      </c>
    </row>
    <row r="4134" spans="1:1" x14ac:dyDescent="0.25">
      <c r="A4134" t="s">
        <v>2463</v>
      </c>
    </row>
    <row r="4135" spans="1:1" x14ac:dyDescent="0.25">
      <c r="A4135" t="s">
        <v>2464</v>
      </c>
    </row>
    <row r="4136" spans="1:1" x14ac:dyDescent="0.25">
      <c r="A4136" t="s">
        <v>2465</v>
      </c>
    </row>
    <row r="4137" spans="1:1" x14ac:dyDescent="0.25">
      <c r="A4137" t="s">
        <v>2466</v>
      </c>
    </row>
    <row r="4138" spans="1:1" x14ac:dyDescent="0.25">
      <c r="A4138" t="s">
        <v>809</v>
      </c>
    </row>
    <row r="4139" spans="1:1" x14ac:dyDescent="0.25">
      <c r="A4139" t="s">
        <v>2467</v>
      </c>
    </row>
    <row r="4140" spans="1:1" x14ac:dyDescent="0.25">
      <c r="A4140" t="s">
        <v>2468</v>
      </c>
    </row>
    <row r="4141" spans="1:1" x14ac:dyDescent="0.25">
      <c r="A4141" t="s">
        <v>398</v>
      </c>
    </row>
    <row r="4142" spans="1:1" x14ac:dyDescent="0.25">
      <c r="A4142" t="s">
        <v>812</v>
      </c>
    </row>
    <row r="4143" spans="1:1" x14ac:dyDescent="0.25">
      <c r="A4143" t="s">
        <v>21</v>
      </c>
    </row>
    <row r="4145" spans="1:1" x14ac:dyDescent="0.25">
      <c r="A4145" t="s">
        <v>2469</v>
      </c>
    </row>
    <row r="4146" spans="1:1" x14ac:dyDescent="0.25">
      <c r="A4146" t="s">
        <v>2470</v>
      </c>
    </row>
    <row r="4147" spans="1:1" x14ac:dyDescent="0.25">
      <c r="A4147" t="s">
        <v>1174</v>
      </c>
    </row>
    <row r="4148" spans="1:1" x14ac:dyDescent="0.25">
      <c r="A4148" t="s">
        <v>1175</v>
      </c>
    </row>
    <row r="4149" spans="1:1" x14ac:dyDescent="0.25">
      <c r="A4149" t="s">
        <v>809</v>
      </c>
    </row>
    <row r="4150" spans="1:1" x14ac:dyDescent="0.25">
      <c r="A4150" t="s">
        <v>810</v>
      </c>
    </row>
    <row r="4151" spans="1:1" x14ac:dyDescent="0.25">
      <c r="A4151" t="s">
        <v>811</v>
      </c>
    </row>
    <row r="4152" spans="1:1" x14ac:dyDescent="0.25">
      <c r="A4152" t="s">
        <v>398</v>
      </c>
    </row>
    <row r="4153" spans="1:1" x14ac:dyDescent="0.25">
      <c r="A4153" t="s">
        <v>812</v>
      </c>
    </row>
    <row r="4154" spans="1:1" x14ac:dyDescent="0.25">
      <c r="A4154" t="s">
        <v>21</v>
      </c>
    </row>
    <row r="4156" spans="1:1" x14ac:dyDescent="0.25">
      <c r="A4156" t="s">
        <v>2471</v>
      </c>
    </row>
    <row r="4157" spans="1:1" x14ac:dyDescent="0.25">
      <c r="A4157" t="s">
        <v>2472</v>
      </c>
    </row>
    <row r="4158" spans="1:1" x14ac:dyDescent="0.25">
      <c r="A4158" t="s">
        <v>2473</v>
      </c>
    </row>
    <row r="4159" spans="1:1" x14ac:dyDescent="0.25">
      <c r="A4159" t="s">
        <v>2474</v>
      </c>
    </row>
    <row r="4160" spans="1:1" x14ac:dyDescent="0.25">
      <c r="A4160" t="s">
        <v>21</v>
      </c>
    </row>
    <row r="4163" spans="1:1" x14ac:dyDescent="0.25">
      <c r="A4163" t="s">
        <v>947</v>
      </c>
    </row>
    <row r="4164" spans="1:1" x14ac:dyDescent="0.25">
      <c r="A4164" t="s">
        <v>948</v>
      </c>
    </row>
    <row r="4165" spans="1:1" x14ac:dyDescent="0.25">
      <c r="A4165" t="s">
        <v>949</v>
      </c>
    </row>
    <row r="4166" spans="1:1" x14ac:dyDescent="0.25">
      <c r="A4166" t="s">
        <v>950</v>
      </c>
    </row>
    <row r="4167" spans="1:1" x14ac:dyDescent="0.25">
      <c r="A4167" t="s">
        <v>160</v>
      </c>
    </row>
    <row r="4168" spans="1:1" x14ac:dyDescent="0.25">
      <c r="A4168" t="s">
        <v>951</v>
      </c>
    </row>
    <row r="4169" spans="1:1" x14ac:dyDescent="0.25">
      <c r="A4169" t="s">
        <v>827</v>
      </c>
    </row>
    <row r="4170" spans="1:1" x14ac:dyDescent="0.25">
      <c r="A4170" t="s">
        <v>828</v>
      </c>
    </row>
    <row r="4171" spans="1:1" x14ac:dyDescent="0.25">
      <c r="A4171" t="s">
        <v>262</v>
      </c>
    </row>
    <row r="4172" spans="1:1" x14ac:dyDescent="0.25">
      <c r="A4172" t="s">
        <v>168</v>
      </c>
    </row>
    <row r="4173" spans="1:1" x14ac:dyDescent="0.25">
      <c r="A4173" t="s">
        <v>21</v>
      </c>
    </row>
    <row r="4174" spans="1:1" x14ac:dyDescent="0.25">
      <c r="A4174" t="s">
        <v>1008</v>
      </c>
    </row>
    <row r="4175" spans="1:1" x14ac:dyDescent="0.25">
      <c r="A4175" t="s">
        <v>1009</v>
      </c>
    </row>
    <row r="4176" spans="1:1" x14ac:dyDescent="0.25">
      <c r="A4176" t="s">
        <v>1144</v>
      </c>
    </row>
    <row r="4177" spans="1:1" x14ac:dyDescent="0.25">
      <c r="A4177" t="s">
        <v>1011</v>
      </c>
    </row>
    <row r="4178" spans="1:1" x14ac:dyDescent="0.25">
      <c r="A4178" t="s">
        <v>1071</v>
      </c>
    </row>
    <row r="4179" spans="1:1" x14ac:dyDescent="0.25">
      <c r="A4179" t="s">
        <v>1072</v>
      </c>
    </row>
    <row r="4180" spans="1:1" x14ac:dyDescent="0.25">
      <c r="A4180" t="s">
        <v>21</v>
      </c>
    </row>
    <row r="4182" spans="1:1" x14ac:dyDescent="0.25">
      <c r="A4182" t="s">
        <v>2475</v>
      </c>
    </row>
    <row r="4183" spans="1:1" x14ac:dyDescent="0.25">
      <c r="A4183" t="s">
        <v>2476</v>
      </c>
    </row>
    <row r="4184" spans="1:1" x14ac:dyDescent="0.25">
      <c r="A4184" t="s">
        <v>2477</v>
      </c>
    </row>
    <row r="4185" spans="1:1" x14ac:dyDescent="0.25">
      <c r="A4185" t="s">
        <v>2478</v>
      </c>
    </row>
    <row r="4186" spans="1:1" x14ac:dyDescent="0.25">
      <c r="A4186" t="s">
        <v>2479</v>
      </c>
    </row>
    <row r="4187" spans="1:1" x14ac:dyDescent="0.25">
      <c r="A4187" t="s">
        <v>2480</v>
      </c>
    </row>
    <row r="4188" spans="1:1" x14ac:dyDescent="0.25">
      <c r="A4188" t="s">
        <v>2481</v>
      </c>
    </row>
    <row r="4189" spans="1:1" x14ac:dyDescent="0.25">
      <c r="A4189" t="s">
        <v>2482</v>
      </c>
    </row>
    <row r="4190" spans="1:1" x14ac:dyDescent="0.25">
      <c r="A4190" t="s">
        <v>1350</v>
      </c>
    </row>
    <row r="4191" spans="1:1" x14ac:dyDescent="0.25">
      <c r="A4191" t="s">
        <v>21</v>
      </c>
    </row>
    <row r="4192" spans="1:1" x14ac:dyDescent="0.25">
      <c r="A4192" t="s">
        <v>2483</v>
      </c>
    </row>
    <row r="4193" spans="1:1" x14ac:dyDescent="0.25">
      <c r="A4193" t="s">
        <v>2476</v>
      </c>
    </row>
    <row r="4194" spans="1:1" x14ac:dyDescent="0.25">
      <c r="A4194" t="s">
        <v>2484</v>
      </c>
    </row>
    <row r="4195" spans="1:1" x14ac:dyDescent="0.25">
      <c r="A4195" t="s">
        <v>2485</v>
      </c>
    </row>
    <row r="4196" spans="1:1" x14ac:dyDescent="0.25">
      <c r="A4196" t="s">
        <v>2486</v>
      </c>
    </row>
    <row r="4197" spans="1:1" x14ac:dyDescent="0.25">
      <c r="A4197" t="s">
        <v>2482</v>
      </c>
    </row>
    <row r="4198" spans="1:1" x14ac:dyDescent="0.25">
      <c r="A4198" t="s">
        <v>2481</v>
      </c>
    </row>
    <row r="4199" spans="1:1" x14ac:dyDescent="0.25">
      <c r="A4199" t="s">
        <v>2487</v>
      </c>
    </row>
    <row r="4200" spans="1:1" x14ac:dyDescent="0.25">
      <c r="A4200" t="s">
        <v>1350</v>
      </c>
    </row>
    <row r="4201" spans="1:1" x14ac:dyDescent="0.25">
      <c r="A4201" t="s">
        <v>21</v>
      </c>
    </row>
    <row r="4203" spans="1:1" x14ac:dyDescent="0.25">
      <c r="A4203" t="s">
        <v>2488</v>
      </c>
    </row>
    <row r="4204" spans="1:1" x14ac:dyDescent="0.25">
      <c r="A4204" t="s">
        <v>2489</v>
      </c>
    </row>
    <row r="4205" spans="1:1" x14ac:dyDescent="0.25">
      <c r="A4205" t="s">
        <v>2490</v>
      </c>
    </row>
    <row r="4206" spans="1:1" x14ac:dyDescent="0.25">
      <c r="A4206" t="s">
        <v>268</v>
      </c>
    </row>
    <row r="4207" spans="1:1" x14ac:dyDescent="0.25">
      <c r="A4207" t="s">
        <v>21</v>
      </c>
    </row>
    <row r="4208" spans="1:1" x14ac:dyDescent="0.25">
      <c r="A4208" t="s">
        <v>2491</v>
      </c>
    </row>
    <row r="4209" spans="1:1" x14ac:dyDescent="0.25">
      <c r="A4209" t="s">
        <v>2492</v>
      </c>
    </row>
    <row r="4210" spans="1:1" x14ac:dyDescent="0.25">
      <c r="A4210" t="s">
        <v>2493</v>
      </c>
    </row>
    <row r="4211" spans="1:1" x14ac:dyDescent="0.25">
      <c r="A4211" t="s">
        <v>2494</v>
      </c>
    </row>
    <row r="4212" spans="1:1" x14ac:dyDescent="0.25">
      <c r="A4212" t="s">
        <v>2495</v>
      </c>
    </row>
    <row r="4213" spans="1:1" x14ac:dyDescent="0.25">
      <c r="A4213" t="s">
        <v>2496</v>
      </c>
    </row>
    <row r="4214" spans="1:1" x14ac:dyDescent="0.25">
      <c r="A4214" t="s">
        <v>1350</v>
      </c>
    </row>
    <row r="4215" spans="1:1" x14ac:dyDescent="0.25">
      <c r="A4215" t="s">
        <v>268</v>
      </c>
    </row>
    <row r="4216" spans="1:1" x14ac:dyDescent="0.25">
      <c r="A4216" t="s">
        <v>21</v>
      </c>
    </row>
    <row r="4218" spans="1:1" x14ac:dyDescent="0.25">
      <c r="A4218" t="s">
        <v>1263</v>
      </c>
    </row>
    <row r="4219" spans="1:1" x14ac:dyDescent="0.25">
      <c r="A4219" t="s">
        <v>2497</v>
      </c>
    </row>
    <row r="4220" spans="1:1" x14ac:dyDescent="0.25">
      <c r="A4220" t="s">
        <v>2498</v>
      </c>
    </row>
    <row r="4221" spans="1:1" x14ac:dyDescent="0.25">
      <c r="A4221" t="s">
        <v>2499</v>
      </c>
    </row>
    <row r="4222" spans="1:1" x14ac:dyDescent="0.25">
      <c r="A4222" t="s">
        <v>2500</v>
      </c>
    </row>
    <row r="4223" spans="1:1" x14ac:dyDescent="0.25">
      <c r="A4223" t="s">
        <v>2501</v>
      </c>
    </row>
    <row r="4224" spans="1:1" x14ac:dyDescent="0.25">
      <c r="A4224" t="s">
        <v>2502</v>
      </c>
    </row>
    <row r="4225" spans="1:1" x14ac:dyDescent="0.25">
      <c r="A4225" t="s">
        <v>2503</v>
      </c>
    </row>
    <row r="4226" spans="1:1" x14ac:dyDescent="0.25">
      <c r="A4226" t="s">
        <v>2504</v>
      </c>
    </row>
    <row r="4227" spans="1:1" x14ac:dyDescent="0.25">
      <c r="A4227" t="s">
        <v>214</v>
      </c>
    </row>
    <row r="4228" spans="1:1" x14ac:dyDescent="0.25">
      <c r="A4228" t="s">
        <v>2505</v>
      </c>
    </row>
    <row r="4229" spans="1:1" x14ac:dyDescent="0.25">
      <c r="A4229" t="s">
        <v>21</v>
      </c>
    </row>
    <row r="4230" spans="1:1" x14ac:dyDescent="0.25">
      <c r="A4230" t="s">
        <v>2506</v>
      </c>
    </row>
    <row r="4231" spans="1:1" x14ac:dyDescent="0.25">
      <c r="A4231" t="s">
        <v>2507</v>
      </c>
    </row>
    <row r="4232" spans="1:1" x14ac:dyDescent="0.25">
      <c r="A4232" t="s">
        <v>2508</v>
      </c>
    </row>
    <row r="4233" spans="1:1" x14ac:dyDescent="0.25">
      <c r="A4233" t="s">
        <v>2509</v>
      </c>
    </row>
    <row r="4234" spans="1:1" x14ac:dyDescent="0.25">
      <c r="A4234" t="s">
        <v>788</v>
      </c>
    </row>
    <row r="4235" spans="1:1" x14ac:dyDescent="0.25">
      <c r="A4235" t="s">
        <v>2510</v>
      </c>
    </row>
    <row r="4236" spans="1:1" x14ac:dyDescent="0.25">
      <c r="A4236" t="s">
        <v>268</v>
      </c>
    </row>
    <row r="4237" spans="1:1" x14ac:dyDescent="0.25">
      <c r="A4237" t="s">
        <v>21</v>
      </c>
    </row>
    <row r="4238" spans="1:1" x14ac:dyDescent="0.25">
      <c r="A4238" t="s">
        <v>2488</v>
      </c>
    </row>
    <row r="4239" spans="1:1" x14ac:dyDescent="0.25">
      <c r="A4239" t="s">
        <v>2489</v>
      </c>
    </row>
    <row r="4240" spans="1:1" x14ac:dyDescent="0.25">
      <c r="A4240" t="s">
        <v>2490</v>
      </c>
    </row>
    <row r="4241" spans="1:1" x14ac:dyDescent="0.25">
      <c r="A4241" t="s">
        <v>268</v>
      </c>
    </row>
    <row r="4242" spans="1:1" x14ac:dyDescent="0.25">
      <c r="A4242" t="s">
        <v>21</v>
      </c>
    </row>
    <row r="4244" spans="1:1" x14ac:dyDescent="0.25">
      <c r="A4244" t="s">
        <v>2511</v>
      </c>
    </row>
    <row r="4245" spans="1:1" x14ac:dyDescent="0.25">
      <c r="A4245" t="s">
        <v>2512</v>
      </c>
    </row>
    <row r="4246" spans="1:1" x14ac:dyDescent="0.25">
      <c r="A4246" t="s">
        <v>317</v>
      </c>
    </row>
    <row r="4247" spans="1:1" x14ac:dyDescent="0.25">
      <c r="A4247" t="s">
        <v>2513</v>
      </c>
    </row>
    <row r="4248" spans="1:1" x14ac:dyDescent="0.25">
      <c r="A4248" t="s">
        <v>2514</v>
      </c>
    </row>
    <row r="4249" spans="1:1" x14ac:dyDescent="0.25">
      <c r="A4249" t="s">
        <v>2515</v>
      </c>
    </row>
    <row r="4250" spans="1:1" x14ac:dyDescent="0.25">
      <c r="A4250" t="s">
        <v>2481</v>
      </c>
    </row>
    <row r="4251" spans="1:1" x14ac:dyDescent="0.25">
      <c r="A4251" t="s">
        <v>2516</v>
      </c>
    </row>
    <row r="4252" spans="1:1" x14ac:dyDescent="0.25">
      <c r="A4252" t="s">
        <v>2517</v>
      </c>
    </row>
    <row r="4253" spans="1:1" x14ac:dyDescent="0.25">
      <c r="A4253" t="s">
        <v>1350</v>
      </c>
    </row>
    <row r="4254" spans="1:1" x14ac:dyDescent="0.25">
      <c r="A4254" t="s">
        <v>331</v>
      </c>
    </row>
    <row r="4255" spans="1:1" x14ac:dyDescent="0.25">
      <c r="A4255" t="s">
        <v>21</v>
      </c>
    </row>
    <row r="4257" spans="1:1" x14ac:dyDescent="0.25">
      <c r="A4257" t="s">
        <v>2518</v>
      </c>
    </row>
    <row r="4258" spans="1:1" x14ac:dyDescent="0.25">
      <c r="A4258" t="s">
        <v>248</v>
      </c>
    </row>
    <row r="4259" spans="1:1" x14ac:dyDescent="0.25">
      <c r="A4259" t="s">
        <v>2519</v>
      </c>
    </row>
    <row r="4260" spans="1:1" x14ac:dyDescent="0.25">
      <c r="A4260" t="s">
        <v>2520</v>
      </c>
    </row>
    <row r="4261" spans="1:1" x14ac:dyDescent="0.25">
      <c r="A4261" t="s">
        <v>2521</v>
      </c>
    </row>
    <row r="4262" spans="1:1" x14ac:dyDescent="0.25">
      <c r="A4262" t="s">
        <v>2522</v>
      </c>
    </row>
    <row r="4263" spans="1:1" x14ac:dyDescent="0.25">
      <c r="A4263" t="s">
        <v>2523</v>
      </c>
    </row>
    <row r="4264" spans="1:1" x14ac:dyDescent="0.25">
      <c r="A4264" t="s">
        <v>2524</v>
      </c>
    </row>
    <row r="4265" spans="1:1" x14ac:dyDescent="0.25">
      <c r="A4265" t="s">
        <v>2525</v>
      </c>
    </row>
    <row r="4266" spans="1:1" x14ac:dyDescent="0.25">
      <c r="A4266" t="s">
        <v>2526</v>
      </c>
    </row>
    <row r="4267" spans="1:1" x14ac:dyDescent="0.25">
      <c r="A4267" t="s">
        <v>2527</v>
      </c>
    </row>
    <row r="4268" spans="1:1" x14ac:dyDescent="0.25">
      <c r="A4268" t="s">
        <v>2528</v>
      </c>
    </row>
    <row r="4269" spans="1:1" x14ac:dyDescent="0.25">
      <c r="A4269" t="s">
        <v>2529</v>
      </c>
    </row>
    <row r="4270" spans="1:1" x14ac:dyDescent="0.25">
      <c r="A4270" t="s">
        <v>21</v>
      </c>
    </row>
    <row r="4271" spans="1:1" x14ac:dyDescent="0.25">
      <c r="A4271" t="s">
        <v>2530</v>
      </c>
    </row>
    <row r="4272" spans="1:1" x14ac:dyDescent="0.25">
      <c r="A4272" t="s">
        <v>1681</v>
      </c>
    </row>
    <row r="4273" spans="1:1" x14ac:dyDescent="0.25">
      <c r="A4273" t="s">
        <v>2519</v>
      </c>
    </row>
    <row r="4274" spans="1:1" x14ac:dyDescent="0.25">
      <c r="A4274" t="s">
        <v>2520</v>
      </c>
    </row>
    <row r="4275" spans="1:1" x14ac:dyDescent="0.25">
      <c r="A4275" t="s">
        <v>2521</v>
      </c>
    </row>
    <row r="4276" spans="1:1" x14ac:dyDescent="0.25">
      <c r="A4276" t="s">
        <v>2522</v>
      </c>
    </row>
    <row r="4277" spans="1:1" x14ac:dyDescent="0.25">
      <c r="A4277" t="s">
        <v>2523</v>
      </c>
    </row>
    <row r="4278" spans="1:1" x14ac:dyDescent="0.25">
      <c r="A4278" t="s">
        <v>2524</v>
      </c>
    </row>
    <row r="4280" spans="1:1" x14ac:dyDescent="0.25">
      <c r="A4280" t="s">
        <v>160</v>
      </c>
    </row>
    <row r="4281" spans="1:1" x14ac:dyDescent="0.25">
      <c r="A4281" t="s">
        <v>2531</v>
      </c>
    </row>
    <row r="4282" spans="1:1" x14ac:dyDescent="0.25">
      <c r="A4282" t="s">
        <v>2532</v>
      </c>
    </row>
    <row r="4283" spans="1:1" x14ac:dyDescent="0.25">
      <c r="A4283" t="s">
        <v>168</v>
      </c>
    </row>
    <row r="4284" spans="1:1" x14ac:dyDescent="0.25">
      <c r="A4284" t="s">
        <v>21</v>
      </c>
    </row>
    <row r="4285" spans="1:1" x14ac:dyDescent="0.25">
      <c r="A4285" t="s">
        <v>2533</v>
      </c>
    </row>
    <row r="4286" spans="1:1" x14ac:dyDescent="0.25">
      <c r="A4286" t="s">
        <v>498</v>
      </c>
    </row>
    <row r="4287" spans="1:1" x14ac:dyDescent="0.25">
      <c r="A4287" t="s">
        <v>2534</v>
      </c>
    </row>
    <row r="4288" spans="1:1" x14ac:dyDescent="0.25">
      <c r="A4288" t="s">
        <v>500</v>
      </c>
    </row>
    <row r="4289" spans="1:1" x14ac:dyDescent="0.25">
      <c r="A4289" t="s">
        <v>501</v>
      </c>
    </row>
    <row r="4290" spans="1:1" x14ac:dyDescent="0.25">
      <c r="A4290" t="s">
        <v>21</v>
      </c>
    </row>
    <row r="4292" spans="1:1" x14ac:dyDescent="0.25">
      <c r="A4292" t="s">
        <v>2535</v>
      </c>
    </row>
    <row r="4293" spans="1:1" x14ac:dyDescent="0.25">
      <c r="A4293" t="s">
        <v>680</v>
      </c>
    </row>
    <row r="4294" spans="1:1" x14ac:dyDescent="0.25">
      <c r="A4294" t="s">
        <v>681</v>
      </c>
    </row>
    <row r="4295" spans="1:1" x14ac:dyDescent="0.25">
      <c r="A4295" t="s">
        <v>682</v>
      </c>
    </row>
    <row r="4296" spans="1:1" x14ac:dyDescent="0.25">
      <c r="A4296" t="s">
        <v>2536</v>
      </c>
    </row>
    <row r="4297" spans="1:1" x14ac:dyDescent="0.25">
      <c r="A4297" t="s">
        <v>684</v>
      </c>
    </row>
    <row r="4298" spans="1:1" x14ac:dyDescent="0.25">
      <c r="A4298" t="s">
        <v>959</v>
      </c>
    </row>
    <row r="4299" spans="1:1" x14ac:dyDescent="0.25">
      <c r="A4299" t="s">
        <v>685</v>
      </c>
    </row>
    <row r="4300" spans="1:1" x14ac:dyDescent="0.25">
      <c r="A4300" t="s">
        <v>686</v>
      </c>
    </row>
    <row r="4301" spans="1:1" x14ac:dyDescent="0.25">
      <c r="A4301" t="s">
        <v>214</v>
      </c>
    </row>
    <row r="4302" spans="1:1" x14ac:dyDescent="0.25">
      <c r="A4302" t="s">
        <v>21</v>
      </c>
    </row>
    <row r="4305" spans="1:1" x14ac:dyDescent="0.25">
      <c r="A4305" t="s">
        <v>2537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D1615"/>
  <sheetViews>
    <sheetView workbookViewId="0">
      <selection activeCell="I10" sqref="I10"/>
    </sheetView>
  </sheetViews>
  <sheetFormatPr defaultRowHeight="15" x14ac:dyDescent="0.25"/>
  <sheetData>
    <row r="2" spans="1:3" x14ac:dyDescent="0.25">
      <c r="A2">
        <v>1</v>
      </c>
      <c r="B2">
        <v>1</v>
      </c>
      <c r="C2" t="s">
        <v>2538</v>
      </c>
    </row>
    <row r="3" spans="1:3" x14ac:dyDescent="0.25">
      <c r="A3">
        <v>2</v>
      </c>
      <c r="B3">
        <v>2</v>
      </c>
      <c r="C3" t="s">
        <v>2539</v>
      </c>
    </row>
    <row r="4" spans="1:3" x14ac:dyDescent="0.25">
      <c r="A4">
        <v>3</v>
      </c>
      <c r="B4">
        <v>3</v>
      </c>
      <c r="C4" t="s">
        <v>2540</v>
      </c>
    </row>
    <row r="5" spans="1:3" x14ac:dyDescent="0.25">
      <c r="A5">
        <v>4</v>
      </c>
      <c r="B5">
        <v>4</v>
      </c>
      <c r="C5" t="s">
        <v>2541</v>
      </c>
    </row>
    <row r="6" spans="1:3" x14ac:dyDescent="0.25">
      <c r="A6">
        <v>5</v>
      </c>
      <c r="B6">
        <v>5</v>
      </c>
      <c r="C6" t="s">
        <v>2542</v>
      </c>
    </row>
    <row r="7" spans="1:3" x14ac:dyDescent="0.25">
      <c r="A7">
        <v>6</v>
      </c>
      <c r="B7">
        <v>6</v>
      </c>
      <c r="C7" t="s">
        <v>2543</v>
      </c>
    </row>
    <row r="8" spans="1:3" x14ac:dyDescent="0.25">
      <c r="A8">
        <v>7</v>
      </c>
      <c r="B8">
        <v>7</v>
      </c>
      <c r="C8" t="s">
        <v>2544</v>
      </c>
    </row>
    <row r="9" spans="1:3" x14ac:dyDescent="0.25">
      <c r="A9">
        <v>8</v>
      </c>
      <c r="B9">
        <v>8</v>
      </c>
      <c r="C9" t="s">
        <v>2545</v>
      </c>
    </row>
    <row r="10" spans="1:3" x14ac:dyDescent="0.25">
      <c r="A10">
        <v>9</v>
      </c>
      <c r="B10">
        <v>9</v>
      </c>
    </row>
    <row r="11" spans="1:3" x14ac:dyDescent="0.25">
      <c r="A11">
        <v>10</v>
      </c>
      <c r="B11">
        <v>10</v>
      </c>
      <c r="C11" t="s">
        <v>2546</v>
      </c>
    </row>
    <row r="12" spans="1:3" x14ac:dyDescent="0.25">
      <c r="A12">
        <v>11</v>
      </c>
      <c r="B12">
        <v>11</v>
      </c>
      <c r="C12" t="s">
        <v>2547</v>
      </c>
    </row>
    <row r="13" spans="1:3" x14ac:dyDescent="0.25">
      <c r="A13">
        <v>12</v>
      </c>
      <c r="B13">
        <v>12</v>
      </c>
      <c r="C13" t="s">
        <v>2548</v>
      </c>
    </row>
    <row r="14" spans="1:3" x14ac:dyDescent="0.25">
      <c r="A14">
        <v>13</v>
      </c>
      <c r="B14">
        <v>13</v>
      </c>
      <c r="C14" t="s">
        <v>2549</v>
      </c>
    </row>
    <row r="15" spans="1:3" x14ac:dyDescent="0.25">
      <c r="A15">
        <v>14</v>
      </c>
      <c r="B15">
        <v>14</v>
      </c>
      <c r="C15" t="s">
        <v>2550</v>
      </c>
    </row>
    <row r="16" spans="1:3" x14ac:dyDescent="0.25">
      <c r="A16">
        <v>15</v>
      </c>
      <c r="B16">
        <v>15</v>
      </c>
      <c r="C16" t="s">
        <v>2551</v>
      </c>
    </row>
    <row r="17" spans="1:4" x14ac:dyDescent="0.25">
      <c r="A17">
        <v>16</v>
      </c>
      <c r="B17">
        <v>16</v>
      </c>
      <c r="C17" t="s">
        <v>2552</v>
      </c>
    </row>
    <row r="18" spans="1:4" x14ac:dyDescent="0.25">
      <c r="A18">
        <v>17</v>
      </c>
      <c r="B18">
        <v>17</v>
      </c>
      <c r="C18" t="s">
        <v>2553</v>
      </c>
    </row>
    <row r="19" spans="1:4" x14ac:dyDescent="0.25">
      <c r="A19">
        <v>18</v>
      </c>
      <c r="B19">
        <v>18</v>
      </c>
      <c r="C19" t="s">
        <v>2554</v>
      </c>
      <c r="D19" t="s">
        <v>2555</v>
      </c>
    </row>
    <row r="20" spans="1:4" x14ac:dyDescent="0.25">
      <c r="A20">
        <v>19</v>
      </c>
      <c r="B20">
        <v>19</v>
      </c>
      <c r="C20" t="s">
        <v>2556</v>
      </c>
    </row>
    <row r="21" spans="1:4" x14ac:dyDescent="0.25">
      <c r="A21">
        <v>20</v>
      </c>
      <c r="B21">
        <v>20</v>
      </c>
    </row>
    <row r="22" spans="1:4" x14ac:dyDescent="0.25">
      <c r="A22">
        <v>21</v>
      </c>
      <c r="B22">
        <v>21</v>
      </c>
    </row>
    <row r="23" spans="1:4" x14ac:dyDescent="0.25">
      <c r="A23">
        <v>22</v>
      </c>
      <c r="B23">
        <v>22</v>
      </c>
    </row>
    <row r="24" spans="1:4" x14ac:dyDescent="0.25">
      <c r="A24">
        <v>23</v>
      </c>
      <c r="B24">
        <v>23</v>
      </c>
      <c r="C24" t="s">
        <v>2557</v>
      </c>
    </row>
    <row r="25" spans="1:4" x14ac:dyDescent="0.25">
      <c r="A25">
        <v>24</v>
      </c>
      <c r="B25">
        <v>24</v>
      </c>
      <c r="C25" t="s">
        <v>2558</v>
      </c>
    </row>
    <row r="26" spans="1:4" x14ac:dyDescent="0.25">
      <c r="A26">
        <v>25</v>
      </c>
      <c r="B26">
        <v>25</v>
      </c>
      <c r="C26" t="s">
        <v>2559</v>
      </c>
    </row>
    <row r="27" spans="1:4" x14ac:dyDescent="0.25">
      <c r="A27">
        <v>26</v>
      </c>
      <c r="B27">
        <v>26</v>
      </c>
    </row>
    <row r="28" spans="1:4" x14ac:dyDescent="0.25">
      <c r="A28">
        <v>27</v>
      </c>
      <c r="B28">
        <v>27</v>
      </c>
      <c r="C28" t="s">
        <v>2560</v>
      </c>
    </row>
    <row r="29" spans="1:4" x14ac:dyDescent="0.25">
      <c r="A29">
        <v>28</v>
      </c>
      <c r="B29">
        <v>28</v>
      </c>
      <c r="C29" t="s">
        <v>2561</v>
      </c>
    </row>
    <row r="30" spans="1:4" x14ac:dyDescent="0.25">
      <c r="A30">
        <v>29</v>
      </c>
      <c r="B30">
        <v>29</v>
      </c>
      <c r="C30" t="s">
        <v>2562</v>
      </c>
    </row>
    <row r="31" spans="1:4" x14ac:dyDescent="0.25">
      <c r="A31">
        <v>30</v>
      </c>
      <c r="B31">
        <v>30</v>
      </c>
      <c r="C31" t="s">
        <v>2563</v>
      </c>
    </row>
    <row r="32" spans="1:4" x14ac:dyDescent="0.25">
      <c r="A32">
        <v>31</v>
      </c>
      <c r="B32">
        <v>31</v>
      </c>
      <c r="C32" t="s">
        <v>2564</v>
      </c>
    </row>
    <row r="33" spans="1:4" x14ac:dyDescent="0.25">
      <c r="A33">
        <v>32</v>
      </c>
      <c r="B33">
        <v>32</v>
      </c>
      <c r="C33" t="s">
        <v>2565</v>
      </c>
    </row>
    <row r="34" spans="1:4" x14ac:dyDescent="0.25">
      <c r="A34">
        <v>33</v>
      </c>
      <c r="B34">
        <v>33</v>
      </c>
      <c r="C34" t="s">
        <v>2566</v>
      </c>
    </row>
    <row r="35" spans="1:4" x14ac:dyDescent="0.25">
      <c r="A35">
        <v>34</v>
      </c>
      <c r="B35">
        <v>34</v>
      </c>
      <c r="C35" t="s">
        <v>2567</v>
      </c>
      <c r="D35" t="s">
        <v>2568</v>
      </c>
    </row>
    <row r="36" spans="1:4" x14ac:dyDescent="0.25">
      <c r="A36">
        <v>35</v>
      </c>
      <c r="B36">
        <v>35</v>
      </c>
      <c r="C36" t="s">
        <v>2569</v>
      </c>
      <c r="D36" t="s">
        <v>2570</v>
      </c>
    </row>
    <row r="37" spans="1:4" x14ac:dyDescent="0.25">
      <c r="A37">
        <v>36</v>
      </c>
      <c r="B37">
        <v>36</v>
      </c>
      <c r="C37" t="s">
        <v>2571</v>
      </c>
    </row>
    <row r="38" spans="1:4" x14ac:dyDescent="0.25">
      <c r="A38">
        <v>37</v>
      </c>
      <c r="B38">
        <v>37</v>
      </c>
      <c r="C38" t="s">
        <v>2572</v>
      </c>
    </row>
    <row r="39" spans="1:4" x14ac:dyDescent="0.25">
      <c r="A39">
        <v>38</v>
      </c>
      <c r="B39">
        <v>38</v>
      </c>
      <c r="C39" t="s">
        <v>2573</v>
      </c>
    </row>
    <row r="40" spans="1:4" x14ac:dyDescent="0.25">
      <c r="A40">
        <v>39</v>
      </c>
      <c r="B40">
        <v>39</v>
      </c>
      <c r="C40" t="s">
        <v>2574</v>
      </c>
    </row>
    <row r="41" spans="1:4" x14ac:dyDescent="0.25">
      <c r="A41">
        <v>40</v>
      </c>
      <c r="B41">
        <v>40</v>
      </c>
      <c r="C41" t="s">
        <v>2575</v>
      </c>
    </row>
    <row r="42" spans="1:4" x14ac:dyDescent="0.25">
      <c r="A42">
        <v>41</v>
      </c>
      <c r="B42">
        <v>41</v>
      </c>
      <c r="C42" t="s">
        <v>2576</v>
      </c>
    </row>
    <row r="43" spans="1:4" x14ac:dyDescent="0.25">
      <c r="A43">
        <v>42</v>
      </c>
      <c r="B43">
        <v>42</v>
      </c>
      <c r="C43" t="s">
        <v>2577</v>
      </c>
    </row>
    <row r="44" spans="1:4" x14ac:dyDescent="0.25">
      <c r="A44">
        <v>43</v>
      </c>
      <c r="B44">
        <v>43</v>
      </c>
      <c r="C44" t="s">
        <v>2578</v>
      </c>
    </row>
    <row r="45" spans="1:4" x14ac:dyDescent="0.25">
      <c r="A45">
        <v>44</v>
      </c>
      <c r="B45">
        <v>44</v>
      </c>
      <c r="C45" t="s">
        <v>2579</v>
      </c>
    </row>
    <row r="46" spans="1:4" x14ac:dyDescent="0.25">
      <c r="A46">
        <v>45</v>
      </c>
      <c r="B46">
        <v>45</v>
      </c>
      <c r="C46" t="s">
        <v>2580</v>
      </c>
    </row>
    <row r="47" spans="1:4" x14ac:dyDescent="0.25">
      <c r="A47">
        <v>46</v>
      </c>
      <c r="B47">
        <v>46</v>
      </c>
      <c r="C47" t="s">
        <v>2581</v>
      </c>
    </row>
    <row r="48" spans="1:4" x14ac:dyDescent="0.25">
      <c r="A48">
        <v>47</v>
      </c>
      <c r="B48">
        <v>47</v>
      </c>
      <c r="C48" t="s">
        <v>2582</v>
      </c>
      <c r="D48" t="s">
        <v>2583</v>
      </c>
    </row>
    <row r="49" spans="1:4" x14ac:dyDescent="0.25">
      <c r="A49">
        <v>48</v>
      </c>
      <c r="B49">
        <v>48</v>
      </c>
    </row>
    <row r="50" spans="1:4" x14ac:dyDescent="0.25">
      <c r="A50">
        <v>49</v>
      </c>
      <c r="B50">
        <v>49</v>
      </c>
      <c r="C50" t="s">
        <v>2584</v>
      </c>
    </row>
    <row r="51" spans="1:4" x14ac:dyDescent="0.25">
      <c r="A51">
        <v>50</v>
      </c>
      <c r="B51">
        <v>50</v>
      </c>
      <c r="C51" t="s">
        <v>2585</v>
      </c>
    </row>
    <row r="52" spans="1:4" x14ac:dyDescent="0.25">
      <c r="A52">
        <v>51</v>
      </c>
      <c r="B52">
        <v>51</v>
      </c>
      <c r="C52" t="s">
        <v>2586</v>
      </c>
    </row>
    <row r="53" spans="1:4" x14ac:dyDescent="0.25">
      <c r="A53">
        <v>52</v>
      </c>
      <c r="B53">
        <v>52</v>
      </c>
      <c r="C53" t="s">
        <v>2587</v>
      </c>
    </row>
    <row r="54" spans="1:4" x14ac:dyDescent="0.25">
      <c r="A54">
        <v>53</v>
      </c>
      <c r="B54">
        <v>53</v>
      </c>
      <c r="C54" t="s">
        <v>2588</v>
      </c>
    </row>
    <row r="55" spans="1:4" x14ac:dyDescent="0.25">
      <c r="A55">
        <v>54</v>
      </c>
      <c r="B55">
        <v>54</v>
      </c>
      <c r="C55" t="s">
        <v>2589</v>
      </c>
    </row>
    <row r="56" spans="1:4" x14ac:dyDescent="0.25">
      <c r="A56">
        <v>55</v>
      </c>
      <c r="B56">
        <v>55</v>
      </c>
    </row>
    <row r="57" spans="1:4" x14ac:dyDescent="0.25">
      <c r="A57">
        <v>56</v>
      </c>
      <c r="B57">
        <v>56</v>
      </c>
      <c r="C57" t="s">
        <v>2590</v>
      </c>
    </row>
    <row r="58" spans="1:4" x14ac:dyDescent="0.25">
      <c r="A58">
        <v>57</v>
      </c>
      <c r="B58">
        <v>57</v>
      </c>
      <c r="C58" t="s">
        <v>2585</v>
      </c>
    </row>
    <row r="59" spans="1:4" x14ac:dyDescent="0.25">
      <c r="A59">
        <v>58</v>
      </c>
      <c r="B59">
        <v>58</v>
      </c>
      <c r="C59" t="s">
        <v>2591</v>
      </c>
    </row>
    <row r="60" spans="1:4" x14ac:dyDescent="0.25">
      <c r="A60">
        <v>59</v>
      </c>
      <c r="B60">
        <v>59</v>
      </c>
      <c r="C60" t="s">
        <v>1038</v>
      </c>
    </row>
    <row r="61" spans="1:4" x14ac:dyDescent="0.25">
      <c r="A61">
        <v>60</v>
      </c>
      <c r="B61">
        <v>60</v>
      </c>
      <c r="C61" t="s">
        <v>2592</v>
      </c>
    </row>
    <row r="62" spans="1:4" x14ac:dyDescent="0.25">
      <c r="A62">
        <v>61</v>
      </c>
      <c r="B62">
        <v>61</v>
      </c>
      <c r="C62" t="s">
        <v>2593</v>
      </c>
      <c r="D62" t="s">
        <v>2594</v>
      </c>
    </row>
    <row r="63" spans="1:4" x14ac:dyDescent="0.25">
      <c r="A63">
        <v>62</v>
      </c>
      <c r="B63">
        <v>62</v>
      </c>
      <c r="C63" t="s">
        <v>2595</v>
      </c>
    </row>
    <row r="64" spans="1:4" x14ac:dyDescent="0.25">
      <c r="A64">
        <v>63</v>
      </c>
      <c r="B64">
        <v>63</v>
      </c>
      <c r="C64" t="s">
        <v>2596</v>
      </c>
    </row>
    <row r="65" spans="1:3" x14ac:dyDescent="0.25">
      <c r="A65">
        <v>64</v>
      </c>
      <c r="B65">
        <v>64</v>
      </c>
      <c r="C65" t="s">
        <v>2597</v>
      </c>
    </row>
    <row r="66" spans="1:3" x14ac:dyDescent="0.25">
      <c r="A66">
        <v>65</v>
      </c>
      <c r="B66">
        <v>65</v>
      </c>
      <c r="C66" t="s">
        <v>2598</v>
      </c>
    </row>
    <row r="67" spans="1:3" x14ac:dyDescent="0.25">
      <c r="A67">
        <v>66</v>
      </c>
      <c r="B67">
        <v>66</v>
      </c>
      <c r="C67" t="s">
        <v>2599</v>
      </c>
    </row>
    <row r="68" spans="1:3" x14ac:dyDescent="0.25">
      <c r="A68">
        <v>67</v>
      </c>
      <c r="B68">
        <v>67</v>
      </c>
      <c r="C68" t="s">
        <v>2600</v>
      </c>
    </row>
    <row r="69" spans="1:3" x14ac:dyDescent="0.25">
      <c r="A69">
        <v>68</v>
      </c>
      <c r="B69">
        <v>68</v>
      </c>
      <c r="C69" t="s">
        <v>2601</v>
      </c>
    </row>
    <row r="70" spans="1:3" x14ac:dyDescent="0.25">
      <c r="A70">
        <v>69</v>
      </c>
      <c r="B70">
        <v>69</v>
      </c>
      <c r="C70" t="s">
        <v>2602</v>
      </c>
    </row>
    <row r="71" spans="1:3" x14ac:dyDescent="0.25">
      <c r="A71">
        <v>70</v>
      </c>
      <c r="B71">
        <v>70</v>
      </c>
      <c r="C71" t="s">
        <v>2603</v>
      </c>
    </row>
    <row r="72" spans="1:3" x14ac:dyDescent="0.25">
      <c r="A72">
        <v>71</v>
      </c>
      <c r="B72">
        <v>71</v>
      </c>
      <c r="C72" t="s">
        <v>2604</v>
      </c>
    </row>
    <row r="73" spans="1:3" x14ac:dyDescent="0.25">
      <c r="A73">
        <v>72</v>
      </c>
      <c r="B73">
        <v>72</v>
      </c>
      <c r="C73" t="s">
        <v>2605</v>
      </c>
    </row>
    <row r="74" spans="1:3" x14ac:dyDescent="0.25">
      <c r="A74">
        <v>73</v>
      </c>
      <c r="B74">
        <v>73</v>
      </c>
      <c r="C74" t="s">
        <v>2606</v>
      </c>
    </row>
    <row r="75" spans="1:3" x14ac:dyDescent="0.25">
      <c r="A75">
        <v>74</v>
      </c>
      <c r="B75">
        <v>74</v>
      </c>
      <c r="C75" t="s">
        <v>2607</v>
      </c>
    </row>
    <row r="76" spans="1:3" x14ac:dyDescent="0.25">
      <c r="A76">
        <v>75</v>
      </c>
      <c r="B76">
        <v>75</v>
      </c>
      <c r="C76" t="s">
        <v>2608</v>
      </c>
    </row>
    <row r="77" spans="1:3" x14ac:dyDescent="0.25">
      <c r="A77">
        <v>76</v>
      </c>
      <c r="B77">
        <v>76</v>
      </c>
    </row>
    <row r="78" spans="1:3" x14ac:dyDescent="0.25">
      <c r="A78">
        <v>77</v>
      </c>
      <c r="B78">
        <v>77</v>
      </c>
      <c r="C78" t="s">
        <v>2577</v>
      </c>
    </row>
    <row r="79" spans="1:3" x14ac:dyDescent="0.25">
      <c r="A79">
        <v>78</v>
      </c>
      <c r="B79">
        <v>78</v>
      </c>
      <c r="C79" t="s">
        <v>2609</v>
      </c>
    </row>
    <row r="80" spans="1:3" x14ac:dyDescent="0.25">
      <c r="A80">
        <v>79</v>
      </c>
      <c r="B80">
        <v>79</v>
      </c>
      <c r="C80" t="s">
        <v>2610</v>
      </c>
    </row>
    <row r="81" spans="1:3" x14ac:dyDescent="0.25">
      <c r="A81">
        <v>80</v>
      </c>
      <c r="B81">
        <v>80</v>
      </c>
      <c r="C81" t="s">
        <v>2611</v>
      </c>
    </row>
    <row r="82" spans="1:3" x14ac:dyDescent="0.25">
      <c r="A82">
        <v>81</v>
      </c>
      <c r="B82">
        <v>81</v>
      </c>
      <c r="C82" t="s">
        <v>2612</v>
      </c>
    </row>
    <row r="83" spans="1:3" x14ac:dyDescent="0.25">
      <c r="A83">
        <v>82</v>
      </c>
      <c r="B83">
        <v>82</v>
      </c>
    </row>
    <row r="84" spans="1:3" x14ac:dyDescent="0.25">
      <c r="A84">
        <v>83</v>
      </c>
      <c r="B84">
        <v>83</v>
      </c>
      <c r="C84" t="s">
        <v>2577</v>
      </c>
    </row>
    <row r="85" spans="1:3" x14ac:dyDescent="0.25">
      <c r="A85">
        <v>84</v>
      </c>
      <c r="B85">
        <v>84</v>
      </c>
      <c r="C85" t="s">
        <v>2613</v>
      </c>
    </row>
    <row r="86" spans="1:3" x14ac:dyDescent="0.25">
      <c r="A86">
        <v>85</v>
      </c>
      <c r="B86">
        <v>85</v>
      </c>
      <c r="C86" t="s">
        <v>2614</v>
      </c>
    </row>
    <row r="87" spans="1:3" x14ac:dyDescent="0.25">
      <c r="A87">
        <v>86</v>
      </c>
      <c r="B87">
        <v>86</v>
      </c>
      <c r="C87" t="s">
        <v>2615</v>
      </c>
    </row>
    <row r="88" spans="1:3" x14ac:dyDescent="0.25">
      <c r="A88">
        <v>87</v>
      </c>
      <c r="B88">
        <v>87</v>
      </c>
      <c r="C88" t="s">
        <v>2616</v>
      </c>
    </row>
    <row r="89" spans="1:3" x14ac:dyDescent="0.25">
      <c r="A89">
        <v>88</v>
      </c>
      <c r="B89">
        <v>88</v>
      </c>
      <c r="C89" t="s">
        <v>2617</v>
      </c>
    </row>
    <row r="90" spans="1:3" x14ac:dyDescent="0.25">
      <c r="A90">
        <v>89</v>
      </c>
      <c r="B90">
        <v>89</v>
      </c>
      <c r="C90" t="s">
        <v>2618</v>
      </c>
    </row>
    <row r="91" spans="1:3" x14ac:dyDescent="0.25">
      <c r="A91">
        <v>90</v>
      </c>
      <c r="B91">
        <v>90</v>
      </c>
      <c r="C91" t="s">
        <v>2619</v>
      </c>
    </row>
    <row r="92" spans="1:3" x14ac:dyDescent="0.25">
      <c r="A92">
        <v>91</v>
      </c>
      <c r="B92">
        <v>91</v>
      </c>
      <c r="C92" t="s">
        <v>2620</v>
      </c>
    </row>
    <row r="93" spans="1:3" x14ac:dyDescent="0.25">
      <c r="A93">
        <v>92</v>
      </c>
      <c r="B93">
        <v>92</v>
      </c>
      <c r="C93" t="s">
        <v>2621</v>
      </c>
    </row>
    <row r="94" spans="1:3" x14ac:dyDescent="0.25">
      <c r="A94">
        <v>93</v>
      </c>
      <c r="B94">
        <v>93</v>
      </c>
    </row>
    <row r="95" spans="1:3" x14ac:dyDescent="0.25">
      <c r="A95">
        <v>94</v>
      </c>
      <c r="B95">
        <v>94</v>
      </c>
    </row>
    <row r="96" spans="1:3" x14ac:dyDescent="0.25">
      <c r="A96">
        <v>95</v>
      </c>
      <c r="B96">
        <v>95</v>
      </c>
      <c r="C96" t="s">
        <v>2622</v>
      </c>
    </row>
    <row r="97" spans="1:3" x14ac:dyDescent="0.25">
      <c r="A97">
        <v>96</v>
      </c>
      <c r="B97">
        <v>96</v>
      </c>
      <c r="C97" t="s">
        <v>2623</v>
      </c>
    </row>
    <row r="98" spans="1:3" x14ac:dyDescent="0.25">
      <c r="A98">
        <v>97</v>
      </c>
      <c r="B98">
        <v>97</v>
      </c>
      <c r="C98" t="s">
        <v>2624</v>
      </c>
    </row>
    <row r="99" spans="1:3" x14ac:dyDescent="0.25">
      <c r="A99">
        <v>98</v>
      </c>
      <c r="B99">
        <v>98</v>
      </c>
    </row>
    <row r="100" spans="1:3" x14ac:dyDescent="0.25">
      <c r="A100">
        <v>99</v>
      </c>
      <c r="B100">
        <v>99</v>
      </c>
    </row>
    <row r="101" spans="1:3" x14ac:dyDescent="0.25">
      <c r="A101">
        <v>100</v>
      </c>
      <c r="B101">
        <v>100</v>
      </c>
    </row>
    <row r="102" spans="1:3" x14ac:dyDescent="0.25">
      <c r="A102">
        <v>101</v>
      </c>
      <c r="B102">
        <v>101</v>
      </c>
    </row>
    <row r="103" spans="1:3" x14ac:dyDescent="0.25">
      <c r="A103">
        <v>102</v>
      </c>
      <c r="B103">
        <v>102</v>
      </c>
    </row>
    <row r="104" spans="1:3" x14ac:dyDescent="0.25">
      <c r="A104">
        <v>103</v>
      </c>
      <c r="B104">
        <v>103</v>
      </c>
    </row>
    <row r="105" spans="1:3" x14ac:dyDescent="0.25">
      <c r="A105">
        <v>104</v>
      </c>
      <c r="B105">
        <v>104</v>
      </c>
    </row>
    <row r="106" spans="1:3" x14ac:dyDescent="0.25">
      <c r="A106">
        <v>105</v>
      </c>
      <c r="B106">
        <v>105</v>
      </c>
    </row>
    <row r="107" spans="1:3" x14ac:dyDescent="0.25">
      <c r="A107">
        <v>106</v>
      </c>
      <c r="B107">
        <v>106</v>
      </c>
    </row>
    <row r="108" spans="1:3" x14ac:dyDescent="0.25">
      <c r="A108">
        <v>107</v>
      </c>
      <c r="B108">
        <v>107</v>
      </c>
      <c r="C108" t="s">
        <v>2625</v>
      </c>
    </row>
    <row r="109" spans="1:3" x14ac:dyDescent="0.25">
      <c r="A109">
        <v>108</v>
      </c>
      <c r="B109">
        <v>108</v>
      </c>
      <c r="C109" t="s">
        <v>2626</v>
      </c>
    </row>
    <row r="110" spans="1:3" x14ac:dyDescent="0.25">
      <c r="A110">
        <v>109</v>
      </c>
      <c r="B110">
        <v>109</v>
      </c>
      <c r="C110" t="s">
        <v>2627</v>
      </c>
    </row>
    <row r="111" spans="1:3" x14ac:dyDescent="0.25">
      <c r="A111">
        <v>110</v>
      </c>
      <c r="B111">
        <v>110</v>
      </c>
      <c r="C111" t="s">
        <v>2628</v>
      </c>
    </row>
    <row r="112" spans="1:3" x14ac:dyDescent="0.25">
      <c r="A112">
        <v>111</v>
      </c>
      <c r="B112">
        <v>111</v>
      </c>
      <c r="C112" t="s">
        <v>2629</v>
      </c>
    </row>
    <row r="113" spans="1:3" x14ac:dyDescent="0.25">
      <c r="A113">
        <v>112</v>
      </c>
      <c r="B113">
        <v>112</v>
      </c>
      <c r="C113" t="s">
        <v>2630</v>
      </c>
    </row>
    <row r="114" spans="1:3" x14ac:dyDescent="0.25">
      <c r="A114">
        <v>113</v>
      </c>
      <c r="B114">
        <v>113</v>
      </c>
      <c r="C114" t="s">
        <v>2631</v>
      </c>
    </row>
    <row r="115" spans="1:3" x14ac:dyDescent="0.25">
      <c r="A115">
        <v>114</v>
      </c>
      <c r="B115">
        <v>114</v>
      </c>
      <c r="C115" t="s">
        <v>2632</v>
      </c>
    </row>
    <row r="116" spans="1:3" x14ac:dyDescent="0.25">
      <c r="A116">
        <v>115</v>
      </c>
      <c r="B116">
        <v>115</v>
      </c>
      <c r="C116" t="s">
        <v>2633</v>
      </c>
    </row>
    <row r="117" spans="1:3" x14ac:dyDescent="0.25">
      <c r="A117">
        <v>116</v>
      </c>
      <c r="B117">
        <v>116</v>
      </c>
      <c r="C117" t="s">
        <v>2634</v>
      </c>
    </row>
    <row r="118" spans="1:3" x14ac:dyDescent="0.25">
      <c r="A118">
        <v>117</v>
      </c>
      <c r="B118">
        <v>117</v>
      </c>
      <c r="C118" t="s">
        <v>2635</v>
      </c>
    </row>
    <row r="119" spans="1:3" x14ac:dyDescent="0.25">
      <c r="A119">
        <v>118</v>
      </c>
      <c r="B119">
        <v>118</v>
      </c>
      <c r="C119" t="s">
        <v>2636</v>
      </c>
    </row>
    <row r="120" spans="1:3" x14ac:dyDescent="0.25">
      <c r="A120">
        <v>119</v>
      </c>
      <c r="B120">
        <v>119</v>
      </c>
      <c r="C120" t="s">
        <v>2637</v>
      </c>
    </row>
    <row r="121" spans="1:3" x14ac:dyDescent="0.25">
      <c r="A121">
        <v>120</v>
      </c>
      <c r="B121">
        <v>120</v>
      </c>
      <c r="C121" t="s">
        <v>2638</v>
      </c>
    </row>
    <row r="122" spans="1:3" x14ac:dyDescent="0.25">
      <c r="A122">
        <v>121</v>
      </c>
      <c r="B122">
        <v>121</v>
      </c>
      <c r="C122" t="s">
        <v>2639</v>
      </c>
    </row>
    <row r="123" spans="1:3" x14ac:dyDescent="0.25">
      <c r="A123">
        <v>122</v>
      </c>
      <c r="B123">
        <v>122</v>
      </c>
      <c r="C123" t="s">
        <v>2640</v>
      </c>
    </row>
    <row r="124" spans="1:3" x14ac:dyDescent="0.25">
      <c r="A124">
        <v>123</v>
      </c>
      <c r="B124">
        <v>123</v>
      </c>
      <c r="C124" t="s">
        <v>2641</v>
      </c>
    </row>
    <row r="125" spans="1:3" x14ac:dyDescent="0.25">
      <c r="A125">
        <v>124</v>
      </c>
      <c r="B125">
        <v>124</v>
      </c>
    </row>
    <row r="126" spans="1:3" x14ac:dyDescent="0.25">
      <c r="A126">
        <v>125</v>
      </c>
      <c r="B126">
        <v>125</v>
      </c>
    </row>
    <row r="127" spans="1:3" x14ac:dyDescent="0.25">
      <c r="A127">
        <v>126</v>
      </c>
      <c r="B127">
        <v>126</v>
      </c>
    </row>
    <row r="128" spans="1:3" x14ac:dyDescent="0.25">
      <c r="A128">
        <v>127</v>
      </c>
      <c r="B128">
        <v>127</v>
      </c>
    </row>
    <row r="129" spans="1:4" x14ac:dyDescent="0.25">
      <c r="A129">
        <v>128</v>
      </c>
      <c r="B129">
        <v>128</v>
      </c>
      <c r="C129" t="s">
        <v>2642</v>
      </c>
    </row>
    <row r="130" spans="1:4" x14ac:dyDescent="0.25">
      <c r="A130">
        <v>129</v>
      </c>
      <c r="B130">
        <v>129</v>
      </c>
    </row>
    <row r="131" spans="1:4" x14ac:dyDescent="0.25">
      <c r="A131">
        <v>130</v>
      </c>
      <c r="B131">
        <v>130</v>
      </c>
      <c r="C131" t="s">
        <v>2643</v>
      </c>
      <c r="D131" t="s">
        <v>2644</v>
      </c>
    </row>
    <row r="132" spans="1:4" x14ac:dyDescent="0.25">
      <c r="A132">
        <v>131</v>
      </c>
      <c r="B132">
        <v>131</v>
      </c>
    </row>
    <row r="133" spans="1:4" x14ac:dyDescent="0.25">
      <c r="A133">
        <v>132</v>
      </c>
      <c r="B133">
        <v>132</v>
      </c>
      <c r="C133" t="s">
        <v>2645</v>
      </c>
    </row>
    <row r="134" spans="1:4" x14ac:dyDescent="0.25">
      <c r="A134">
        <v>133</v>
      </c>
      <c r="B134">
        <v>133</v>
      </c>
      <c r="C134" t="s">
        <v>2646</v>
      </c>
    </row>
    <row r="135" spans="1:4" x14ac:dyDescent="0.25">
      <c r="A135">
        <v>134</v>
      </c>
      <c r="B135">
        <v>134</v>
      </c>
      <c r="C135" t="s">
        <v>2647</v>
      </c>
    </row>
    <row r="136" spans="1:4" x14ac:dyDescent="0.25">
      <c r="A136">
        <v>135</v>
      </c>
      <c r="B136">
        <v>135</v>
      </c>
    </row>
    <row r="137" spans="1:4" x14ac:dyDescent="0.25">
      <c r="A137">
        <v>136</v>
      </c>
      <c r="B137">
        <v>136</v>
      </c>
      <c r="C137" t="s">
        <v>2648</v>
      </c>
    </row>
    <row r="138" spans="1:4" x14ac:dyDescent="0.25">
      <c r="A138">
        <v>137</v>
      </c>
      <c r="B138">
        <v>137</v>
      </c>
    </row>
    <row r="139" spans="1:4" x14ac:dyDescent="0.25">
      <c r="A139">
        <v>138</v>
      </c>
      <c r="B139">
        <v>138</v>
      </c>
    </row>
    <row r="140" spans="1:4" x14ac:dyDescent="0.25">
      <c r="A140">
        <v>139</v>
      </c>
      <c r="B140">
        <v>139</v>
      </c>
      <c r="C140" t="s">
        <v>2649</v>
      </c>
    </row>
    <row r="141" spans="1:4" x14ac:dyDescent="0.25">
      <c r="A141">
        <v>140</v>
      </c>
      <c r="B141">
        <v>140</v>
      </c>
      <c r="C141" t="s">
        <v>2650</v>
      </c>
    </row>
    <row r="142" spans="1:4" x14ac:dyDescent="0.25">
      <c r="A142">
        <v>141</v>
      </c>
      <c r="B142">
        <v>141</v>
      </c>
      <c r="C142" t="s">
        <v>2651</v>
      </c>
    </row>
    <row r="143" spans="1:4" x14ac:dyDescent="0.25">
      <c r="A143">
        <v>142</v>
      </c>
      <c r="B143">
        <v>142</v>
      </c>
      <c r="C143" t="s">
        <v>2652</v>
      </c>
    </row>
    <row r="144" spans="1:4" x14ac:dyDescent="0.25">
      <c r="A144">
        <v>143</v>
      </c>
      <c r="B144">
        <v>143</v>
      </c>
      <c r="C144" t="s">
        <v>2653</v>
      </c>
    </row>
    <row r="145" spans="1:4" x14ac:dyDescent="0.25">
      <c r="A145">
        <v>144</v>
      </c>
      <c r="B145">
        <v>144</v>
      </c>
    </row>
    <row r="146" spans="1:4" x14ac:dyDescent="0.25">
      <c r="A146">
        <v>145</v>
      </c>
      <c r="B146">
        <v>145</v>
      </c>
      <c r="C146" t="s">
        <v>2654</v>
      </c>
    </row>
    <row r="147" spans="1:4" x14ac:dyDescent="0.25">
      <c r="A147">
        <v>146</v>
      </c>
      <c r="B147">
        <v>146</v>
      </c>
      <c r="C147" t="s">
        <v>2655</v>
      </c>
    </row>
    <row r="148" spans="1:4" x14ac:dyDescent="0.25">
      <c r="A148">
        <v>147</v>
      </c>
      <c r="B148">
        <v>147</v>
      </c>
      <c r="C148" t="s">
        <v>2656</v>
      </c>
    </row>
    <row r="149" spans="1:4" x14ac:dyDescent="0.25">
      <c r="A149">
        <v>148</v>
      </c>
      <c r="B149">
        <v>148</v>
      </c>
    </row>
    <row r="150" spans="1:4" x14ac:dyDescent="0.25">
      <c r="A150">
        <v>149</v>
      </c>
      <c r="B150">
        <v>149</v>
      </c>
      <c r="C150" t="s">
        <v>2577</v>
      </c>
    </row>
    <row r="151" spans="1:4" x14ac:dyDescent="0.25">
      <c r="A151">
        <v>150</v>
      </c>
      <c r="B151">
        <v>150</v>
      </c>
      <c r="C151" t="s">
        <v>2657</v>
      </c>
    </row>
    <row r="152" spans="1:4" x14ac:dyDescent="0.25">
      <c r="A152">
        <v>151</v>
      </c>
      <c r="B152">
        <v>151</v>
      </c>
      <c r="C152" t="s">
        <v>2658</v>
      </c>
    </row>
    <row r="153" spans="1:4" x14ac:dyDescent="0.25">
      <c r="A153">
        <v>152</v>
      </c>
      <c r="B153">
        <v>152</v>
      </c>
      <c r="C153" t="s">
        <v>2659</v>
      </c>
    </row>
    <row r="154" spans="1:4" x14ac:dyDescent="0.25">
      <c r="A154">
        <v>153</v>
      </c>
      <c r="B154">
        <v>153</v>
      </c>
      <c r="C154" t="s">
        <v>2660</v>
      </c>
    </row>
    <row r="155" spans="1:4" x14ac:dyDescent="0.25">
      <c r="A155">
        <v>154</v>
      </c>
      <c r="B155">
        <v>154</v>
      </c>
      <c r="C155" t="s">
        <v>2661</v>
      </c>
    </row>
    <row r="156" spans="1:4" x14ac:dyDescent="0.25">
      <c r="A156">
        <v>155</v>
      </c>
      <c r="B156">
        <v>155</v>
      </c>
    </row>
    <row r="157" spans="1:4" x14ac:dyDescent="0.25">
      <c r="A157">
        <v>156</v>
      </c>
      <c r="B157">
        <v>156</v>
      </c>
    </row>
    <row r="158" spans="1:4" x14ac:dyDescent="0.25">
      <c r="A158">
        <v>157</v>
      </c>
      <c r="B158">
        <v>157</v>
      </c>
    </row>
    <row r="159" spans="1:4" x14ac:dyDescent="0.25">
      <c r="A159">
        <v>158</v>
      </c>
      <c r="B159">
        <v>158</v>
      </c>
      <c r="C159" t="s">
        <v>2662</v>
      </c>
      <c r="D159" t="s">
        <v>2663</v>
      </c>
    </row>
    <row r="160" spans="1:4" x14ac:dyDescent="0.25">
      <c r="A160">
        <v>159</v>
      </c>
      <c r="B160">
        <v>159</v>
      </c>
    </row>
    <row r="161" spans="1:3" x14ac:dyDescent="0.25">
      <c r="A161">
        <v>160</v>
      </c>
      <c r="B161">
        <v>160</v>
      </c>
      <c r="C161" t="s">
        <v>2577</v>
      </c>
    </row>
    <row r="162" spans="1:3" x14ac:dyDescent="0.25">
      <c r="A162">
        <v>161</v>
      </c>
      <c r="B162">
        <v>161</v>
      </c>
      <c r="C162" t="s">
        <v>2664</v>
      </c>
    </row>
    <row r="163" spans="1:3" x14ac:dyDescent="0.25">
      <c r="A163">
        <v>162</v>
      </c>
      <c r="B163">
        <v>162</v>
      </c>
      <c r="C163" t="s">
        <v>2665</v>
      </c>
    </row>
    <row r="164" spans="1:3" x14ac:dyDescent="0.25">
      <c r="A164">
        <v>163</v>
      </c>
      <c r="B164">
        <v>163</v>
      </c>
      <c r="C164" t="s">
        <v>2666</v>
      </c>
    </row>
    <row r="165" spans="1:3" x14ac:dyDescent="0.25">
      <c r="A165">
        <v>164</v>
      </c>
      <c r="B165">
        <v>164</v>
      </c>
    </row>
    <row r="166" spans="1:3" x14ac:dyDescent="0.25">
      <c r="A166">
        <v>165</v>
      </c>
      <c r="B166">
        <v>165</v>
      </c>
    </row>
    <row r="167" spans="1:3" x14ac:dyDescent="0.25">
      <c r="A167">
        <v>166</v>
      </c>
      <c r="B167">
        <v>166</v>
      </c>
    </row>
    <row r="168" spans="1:3" x14ac:dyDescent="0.25">
      <c r="A168">
        <v>167</v>
      </c>
      <c r="B168">
        <v>167</v>
      </c>
      <c r="C168" t="s">
        <v>2667</v>
      </c>
    </row>
    <row r="169" spans="1:3" x14ac:dyDescent="0.25">
      <c r="A169">
        <v>168</v>
      </c>
      <c r="B169">
        <v>168</v>
      </c>
      <c r="C169" t="s">
        <v>2668</v>
      </c>
    </row>
    <row r="170" spans="1:3" x14ac:dyDescent="0.25">
      <c r="A170">
        <v>169</v>
      </c>
      <c r="B170">
        <v>169</v>
      </c>
      <c r="C170" t="s">
        <v>2669</v>
      </c>
    </row>
    <row r="171" spans="1:3" x14ac:dyDescent="0.25">
      <c r="A171">
        <v>170</v>
      </c>
      <c r="B171">
        <v>170</v>
      </c>
      <c r="C171" t="s">
        <v>2670</v>
      </c>
    </row>
    <row r="172" spans="1:3" x14ac:dyDescent="0.25">
      <c r="A172">
        <v>171</v>
      </c>
      <c r="B172">
        <v>171</v>
      </c>
      <c r="C172" t="s">
        <v>2671</v>
      </c>
    </row>
    <row r="173" spans="1:3" x14ac:dyDescent="0.25">
      <c r="A173">
        <v>172</v>
      </c>
      <c r="B173">
        <v>172</v>
      </c>
      <c r="C173" t="s">
        <v>2672</v>
      </c>
    </row>
    <row r="174" spans="1:3" x14ac:dyDescent="0.25">
      <c r="A174">
        <v>173</v>
      </c>
      <c r="B174">
        <v>173</v>
      </c>
    </row>
    <row r="175" spans="1:3" x14ac:dyDescent="0.25">
      <c r="A175">
        <v>174</v>
      </c>
      <c r="B175">
        <v>174</v>
      </c>
    </row>
    <row r="176" spans="1:3" x14ac:dyDescent="0.25">
      <c r="A176">
        <v>175</v>
      </c>
      <c r="B176">
        <v>175</v>
      </c>
      <c r="C176" t="s">
        <v>2673</v>
      </c>
    </row>
    <row r="177" spans="1:4" x14ac:dyDescent="0.25">
      <c r="A177">
        <v>176</v>
      </c>
      <c r="B177">
        <v>176</v>
      </c>
      <c r="C177" t="s">
        <v>2578</v>
      </c>
    </row>
    <row r="178" spans="1:4" x14ac:dyDescent="0.25">
      <c r="A178">
        <v>177</v>
      </c>
      <c r="B178">
        <v>177</v>
      </c>
      <c r="C178" t="s">
        <v>2579</v>
      </c>
    </row>
    <row r="179" spans="1:4" x14ac:dyDescent="0.25">
      <c r="A179">
        <v>178</v>
      </c>
      <c r="B179">
        <v>178</v>
      </c>
      <c r="C179" t="s">
        <v>2674</v>
      </c>
    </row>
    <row r="180" spans="1:4" x14ac:dyDescent="0.25">
      <c r="A180">
        <v>179</v>
      </c>
      <c r="B180">
        <v>179</v>
      </c>
      <c r="C180" t="s">
        <v>2675</v>
      </c>
    </row>
    <row r="181" spans="1:4" x14ac:dyDescent="0.25">
      <c r="A181">
        <v>180</v>
      </c>
      <c r="B181">
        <v>180</v>
      </c>
      <c r="C181" t="s">
        <v>2676</v>
      </c>
    </row>
    <row r="182" spans="1:4" x14ac:dyDescent="0.25">
      <c r="A182">
        <v>181</v>
      </c>
      <c r="B182">
        <v>181</v>
      </c>
      <c r="C182" t="s">
        <v>2677</v>
      </c>
    </row>
    <row r="183" spans="1:4" x14ac:dyDescent="0.25">
      <c r="A183">
        <v>182</v>
      </c>
      <c r="B183">
        <v>182</v>
      </c>
    </row>
    <row r="184" spans="1:4" x14ac:dyDescent="0.25">
      <c r="A184">
        <v>183</v>
      </c>
      <c r="B184">
        <v>183</v>
      </c>
    </row>
    <row r="185" spans="1:4" x14ac:dyDescent="0.25">
      <c r="A185">
        <v>184</v>
      </c>
      <c r="B185">
        <v>184</v>
      </c>
      <c r="C185" t="s">
        <v>2678</v>
      </c>
    </row>
    <row r="186" spans="1:4" x14ac:dyDescent="0.25">
      <c r="A186">
        <v>185</v>
      </c>
      <c r="B186">
        <v>185</v>
      </c>
      <c r="C186" t="s">
        <v>2679</v>
      </c>
    </row>
    <row r="187" spans="1:4" x14ac:dyDescent="0.25">
      <c r="A187">
        <v>186</v>
      </c>
      <c r="B187">
        <v>186</v>
      </c>
      <c r="C187" t="s">
        <v>2680</v>
      </c>
    </row>
    <row r="188" spans="1:4" x14ac:dyDescent="0.25">
      <c r="A188">
        <v>187</v>
      </c>
      <c r="B188">
        <v>187</v>
      </c>
      <c r="C188" t="s">
        <v>2681</v>
      </c>
    </row>
    <row r="189" spans="1:4" x14ac:dyDescent="0.25">
      <c r="A189">
        <v>188</v>
      </c>
      <c r="B189">
        <v>188</v>
      </c>
      <c r="C189" t="s">
        <v>2682</v>
      </c>
    </row>
    <row r="190" spans="1:4" x14ac:dyDescent="0.25">
      <c r="A190">
        <v>189</v>
      </c>
      <c r="B190">
        <v>189</v>
      </c>
      <c r="C190" t="s">
        <v>2683</v>
      </c>
    </row>
    <row r="191" spans="1:4" x14ac:dyDescent="0.25">
      <c r="A191">
        <v>190</v>
      </c>
      <c r="B191">
        <v>190</v>
      </c>
      <c r="C191" s="1" t="s">
        <v>2684</v>
      </c>
      <c r="D191" t="s">
        <v>2685</v>
      </c>
    </row>
    <row r="192" spans="1:4" x14ac:dyDescent="0.25">
      <c r="A192">
        <v>191</v>
      </c>
      <c r="B192">
        <v>191</v>
      </c>
      <c r="C192" t="s">
        <v>2686</v>
      </c>
      <c r="D192" t="s">
        <v>2687</v>
      </c>
    </row>
    <row r="193" spans="1:4" x14ac:dyDescent="0.25">
      <c r="A193">
        <v>192</v>
      </c>
      <c r="B193">
        <v>192</v>
      </c>
      <c r="C193" s="1" t="s">
        <v>2688</v>
      </c>
      <c r="D193" t="s">
        <v>2689</v>
      </c>
    </row>
    <row r="194" spans="1:4" x14ac:dyDescent="0.25">
      <c r="A194">
        <v>193</v>
      </c>
      <c r="B194">
        <v>193</v>
      </c>
      <c r="C194" t="s">
        <v>2690</v>
      </c>
    </row>
    <row r="195" spans="1:4" x14ac:dyDescent="0.25">
      <c r="A195">
        <v>194</v>
      </c>
      <c r="B195">
        <v>194</v>
      </c>
      <c r="C195" t="s">
        <v>21</v>
      </c>
    </row>
    <row r="196" spans="1:4" x14ac:dyDescent="0.25">
      <c r="A196">
        <v>195</v>
      </c>
      <c r="B196">
        <v>195</v>
      </c>
    </row>
    <row r="197" spans="1:4" x14ac:dyDescent="0.25">
      <c r="A197">
        <v>196</v>
      </c>
      <c r="B197">
        <v>196</v>
      </c>
    </row>
    <row r="198" spans="1:4" x14ac:dyDescent="0.25">
      <c r="A198">
        <v>197</v>
      </c>
      <c r="B198">
        <v>197</v>
      </c>
      <c r="C198" t="s">
        <v>2577</v>
      </c>
    </row>
    <row r="199" spans="1:4" x14ac:dyDescent="0.25">
      <c r="A199">
        <v>198</v>
      </c>
      <c r="B199">
        <v>198</v>
      </c>
      <c r="C199" t="s">
        <v>2691</v>
      </c>
    </row>
    <row r="200" spans="1:4" x14ac:dyDescent="0.25">
      <c r="A200">
        <v>199</v>
      </c>
      <c r="B200">
        <v>199</v>
      </c>
      <c r="C200" t="s">
        <v>2692</v>
      </c>
    </row>
    <row r="201" spans="1:4" x14ac:dyDescent="0.25">
      <c r="A201">
        <v>200</v>
      </c>
      <c r="B201">
        <v>200</v>
      </c>
      <c r="C201" t="s">
        <v>2693</v>
      </c>
    </row>
    <row r="202" spans="1:4" x14ac:dyDescent="0.25">
      <c r="A202">
        <v>201</v>
      </c>
      <c r="B202">
        <v>201</v>
      </c>
    </row>
    <row r="203" spans="1:4" x14ac:dyDescent="0.25">
      <c r="A203">
        <v>202</v>
      </c>
      <c r="B203">
        <v>202</v>
      </c>
    </row>
    <row r="204" spans="1:4" x14ac:dyDescent="0.25">
      <c r="A204">
        <v>203</v>
      </c>
      <c r="B204">
        <v>203</v>
      </c>
    </row>
    <row r="205" spans="1:4" x14ac:dyDescent="0.25">
      <c r="A205">
        <v>204</v>
      </c>
      <c r="B205">
        <v>204</v>
      </c>
      <c r="C205" t="s">
        <v>2577</v>
      </c>
    </row>
    <row r="206" spans="1:4" x14ac:dyDescent="0.25">
      <c r="A206">
        <v>205</v>
      </c>
      <c r="B206">
        <v>205</v>
      </c>
      <c r="C206" t="s">
        <v>2694</v>
      </c>
    </row>
    <row r="207" spans="1:4" x14ac:dyDescent="0.25">
      <c r="A207">
        <v>206</v>
      </c>
      <c r="B207">
        <v>206</v>
      </c>
      <c r="C207" t="s">
        <v>2695</v>
      </c>
    </row>
    <row r="208" spans="1:4" x14ac:dyDescent="0.25">
      <c r="A208">
        <v>207</v>
      </c>
      <c r="B208">
        <v>207</v>
      </c>
      <c r="C208" t="s">
        <v>2696</v>
      </c>
    </row>
    <row r="209" spans="1:3" x14ac:dyDescent="0.25">
      <c r="A209">
        <v>208</v>
      </c>
      <c r="B209">
        <v>208</v>
      </c>
      <c r="C209" t="s">
        <v>2697</v>
      </c>
    </row>
    <row r="210" spans="1:3" x14ac:dyDescent="0.25">
      <c r="A210">
        <v>209</v>
      </c>
      <c r="B210">
        <v>209</v>
      </c>
    </row>
    <row r="211" spans="1:3" x14ac:dyDescent="0.25">
      <c r="A211">
        <v>210</v>
      </c>
      <c r="B211">
        <v>210</v>
      </c>
      <c r="C211" t="s">
        <v>2577</v>
      </c>
    </row>
    <row r="212" spans="1:3" x14ac:dyDescent="0.25">
      <c r="A212">
        <v>211</v>
      </c>
      <c r="B212">
        <v>211</v>
      </c>
      <c r="C212" t="s">
        <v>2698</v>
      </c>
    </row>
    <row r="213" spans="1:3" x14ac:dyDescent="0.25">
      <c r="A213">
        <v>212</v>
      </c>
      <c r="B213">
        <v>212</v>
      </c>
      <c r="C213" t="s">
        <v>2699</v>
      </c>
    </row>
    <row r="214" spans="1:3" x14ac:dyDescent="0.25">
      <c r="A214">
        <v>213</v>
      </c>
      <c r="B214">
        <v>213</v>
      </c>
      <c r="C214" t="s">
        <v>2700</v>
      </c>
    </row>
    <row r="215" spans="1:3" x14ac:dyDescent="0.25">
      <c r="A215">
        <v>214</v>
      </c>
      <c r="B215">
        <v>214</v>
      </c>
      <c r="C215" t="s">
        <v>2701</v>
      </c>
    </row>
    <row r="216" spans="1:3" x14ac:dyDescent="0.25">
      <c r="A216">
        <v>215</v>
      </c>
      <c r="B216">
        <v>215</v>
      </c>
      <c r="C216" t="s">
        <v>2702</v>
      </c>
    </row>
    <row r="217" spans="1:3" x14ac:dyDescent="0.25">
      <c r="A217">
        <v>216</v>
      </c>
      <c r="B217">
        <v>216</v>
      </c>
    </row>
    <row r="218" spans="1:3" x14ac:dyDescent="0.25">
      <c r="A218">
        <v>217</v>
      </c>
      <c r="B218">
        <v>217</v>
      </c>
      <c r="C218" t="s">
        <v>2703</v>
      </c>
    </row>
    <row r="219" spans="1:3" x14ac:dyDescent="0.25">
      <c r="A219">
        <v>218</v>
      </c>
      <c r="B219">
        <v>218</v>
      </c>
      <c r="C219" t="s">
        <v>2704</v>
      </c>
    </row>
    <row r="220" spans="1:3" x14ac:dyDescent="0.25">
      <c r="A220">
        <v>219</v>
      </c>
      <c r="B220">
        <v>219</v>
      </c>
      <c r="C220" t="s">
        <v>741</v>
      </c>
    </row>
    <row r="221" spans="1:3" x14ac:dyDescent="0.25">
      <c r="A221">
        <v>220</v>
      </c>
      <c r="B221">
        <v>220</v>
      </c>
      <c r="C221" t="s">
        <v>2705</v>
      </c>
    </row>
    <row r="222" spans="1:3" x14ac:dyDescent="0.25">
      <c r="A222">
        <v>221</v>
      </c>
      <c r="B222">
        <v>221</v>
      </c>
      <c r="C222" t="s">
        <v>2706</v>
      </c>
    </row>
    <row r="223" spans="1:3" x14ac:dyDescent="0.25">
      <c r="A223">
        <v>222</v>
      </c>
      <c r="B223">
        <v>222</v>
      </c>
      <c r="C223" t="s">
        <v>2707</v>
      </c>
    </row>
    <row r="224" spans="1:3" x14ac:dyDescent="0.25">
      <c r="A224">
        <v>223</v>
      </c>
      <c r="B224">
        <v>223</v>
      </c>
    </row>
    <row r="225" spans="1:4" x14ac:dyDescent="0.25">
      <c r="A225">
        <v>224</v>
      </c>
      <c r="B225">
        <v>224</v>
      </c>
      <c r="C225" t="s">
        <v>2708</v>
      </c>
    </row>
    <row r="226" spans="1:4" x14ac:dyDescent="0.25">
      <c r="A226">
        <v>225</v>
      </c>
      <c r="B226">
        <v>225</v>
      </c>
      <c r="C226" t="s">
        <v>2709</v>
      </c>
    </row>
    <row r="227" spans="1:4" x14ac:dyDescent="0.25">
      <c r="A227">
        <v>226</v>
      </c>
      <c r="B227">
        <v>226</v>
      </c>
      <c r="C227" t="s">
        <v>2710</v>
      </c>
    </row>
    <row r="228" spans="1:4" x14ac:dyDescent="0.25">
      <c r="A228">
        <v>227</v>
      </c>
      <c r="B228">
        <v>227</v>
      </c>
      <c r="C228" t="s">
        <v>2711</v>
      </c>
    </row>
    <row r="229" spans="1:4" x14ac:dyDescent="0.25">
      <c r="A229">
        <v>228</v>
      </c>
      <c r="B229">
        <v>228</v>
      </c>
      <c r="C229" t="s">
        <v>2712</v>
      </c>
    </row>
    <row r="230" spans="1:4" x14ac:dyDescent="0.25">
      <c r="A230">
        <v>229</v>
      </c>
      <c r="B230">
        <v>229</v>
      </c>
      <c r="C230" t="s">
        <v>2713</v>
      </c>
    </row>
    <row r="231" spans="1:4" x14ac:dyDescent="0.25">
      <c r="A231">
        <v>230</v>
      </c>
      <c r="B231">
        <v>230</v>
      </c>
      <c r="C231" t="s">
        <v>2714</v>
      </c>
    </row>
    <row r="232" spans="1:4" x14ac:dyDescent="0.25">
      <c r="A232">
        <v>231</v>
      </c>
      <c r="B232">
        <v>231</v>
      </c>
      <c r="C232" t="s">
        <v>2715</v>
      </c>
    </row>
    <row r="233" spans="1:4" x14ac:dyDescent="0.25">
      <c r="A233">
        <v>232</v>
      </c>
      <c r="B233">
        <v>232</v>
      </c>
      <c r="C233" t="s">
        <v>2716</v>
      </c>
    </row>
    <row r="234" spans="1:4" x14ac:dyDescent="0.25">
      <c r="A234">
        <v>233</v>
      </c>
      <c r="B234">
        <v>233</v>
      </c>
    </row>
    <row r="235" spans="1:4" x14ac:dyDescent="0.25">
      <c r="A235">
        <v>234</v>
      </c>
      <c r="B235">
        <v>234</v>
      </c>
      <c r="C235" t="s">
        <v>2717</v>
      </c>
    </row>
    <row r="236" spans="1:4" x14ac:dyDescent="0.25">
      <c r="A236">
        <v>235</v>
      </c>
      <c r="B236">
        <v>235</v>
      </c>
      <c r="C236" t="s">
        <v>2718</v>
      </c>
    </row>
    <row r="237" spans="1:4" x14ac:dyDescent="0.25">
      <c r="A237">
        <v>236</v>
      </c>
      <c r="B237">
        <v>236</v>
      </c>
    </row>
    <row r="238" spans="1:4" x14ac:dyDescent="0.25">
      <c r="A238">
        <v>237</v>
      </c>
      <c r="B238">
        <v>237</v>
      </c>
      <c r="C238" t="s">
        <v>2719</v>
      </c>
      <c r="D238" t="s">
        <v>2720</v>
      </c>
    </row>
    <row r="239" spans="1:4" x14ac:dyDescent="0.25">
      <c r="A239">
        <v>238</v>
      </c>
      <c r="B239">
        <v>238</v>
      </c>
    </row>
    <row r="240" spans="1:4" x14ac:dyDescent="0.25">
      <c r="A240">
        <v>239</v>
      </c>
      <c r="B240">
        <v>239</v>
      </c>
    </row>
    <row r="241" spans="1:4" x14ac:dyDescent="0.25">
      <c r="A241">
        <v>240</v>
      </c>
      <c r="B241">
        <v>240</v>
      </c>
      <c r="C241" t="s">
        <v>2721</v>
      </c>
    </row>
    <row r="242" spans="1:4" x14ac:dyDescent="0.25">
      <c r="A242">
        <v>241</v>
      </c>
      <c r="B242">
        <v>241</v>
      </c>
      <c r="C242" t="s">
        <v>2722</v>
      </c>
    </row>
    <row r="243" spans="1:4" x14ac:dyDescent="0.25">
      <c r="A243">
        <v>242</v>
      </c>
      <c r="B243">
        <v>242</v>
      </c>
    </row>
    <row r="244" spans="1:4" x14ac:dyDescent="0.25">
      <c r="A244">
        <v>243</v>
      </c>
      <c r="B244">
        <v>243</v>
      </c>
      <c r="C244" t="s">
        <v>2723</v>
      </c>
    </row>
    <row r="245" spans="1:4" x14ac:dyDescent="0.25">
      <c r="A245">
        <v>244</v>
      </c>
      <c r="B245">
        <v>244</v>
      </c>
    </row>
    <row r="246" spans="1:4" x14ac:dyDescent="0.25">
      <c r="A246">
        <v>245</v>
      </c>
      <c r="B246">
        <v>245</v>
      </c>
      <c r="C246" t="s">
        <v>2724</v>
      </c>
    </row>
    <row r="247" spans="1:4" x14ac:dyDescent="0.25">
      <c r="A247">
        <v>246</v>
      </c>
      <c r="B247">
        <v>246</v>
      </c>
    </row>
    <row r="248" spans="1:4" x14ac:dyDescent="0.25">
      <c r="A248">
        <v>247</v>
      </c>
      <c r="B248">
        <v>247</v>
      </c>
    </row>
    <row r="249" spans="1:4" x14ac:dyDescent="0.25">
      <c r="A249">
        <v>248</v>
      </c>
      <c r="B249">
        <v>248</v>
      </c>
      <c r="C249" t="s">
        <v>2725</v>
      </c>
    </row>
    <row r="250" spans="1:4" x14ac:dyDescent="0.25">
      <c r="A250">
        <v>249</v>
      </c>
      <c r="B250">
        <v>249</v>
      </c>
      <c r="C250" t="s">
        <v>2726</v>
      </c>
      <c r="D250" t="s">
        <v>2727</v>
      </c>
    </row>
    <row r="251" spans="1:4" x14ac:dyDescent="0.25">
      <c r="A251">
        <v>250</v>
      </c>
      <c r="B251">
        <v>250</v>
      </c>
      <c r="C251" t="s">
        <v>2728</v>
      </c>
      <c r="D251" t="s">
        <v>2729</v>
      </c>
    </row>
    <row r="252" spans="1:4" x14ac:dyDescent="0.25">
      <c r="A252">
        <v>251</v>
      </c>
      <c r="B252">
        <v>251</v>
      </c>
      <c r="C252" t="s">
        <v>2730</v>
      </c>
    </row>
    <row r="253" spans="1:4" x14ac:dyDescent="0.25">
      <c r="A253">
        <v>252</v>
      </c>
      <c r="B253">
        <v>252</v>
      </c>
    </row>
    <row r="254" spans="1:4" x14ac:dyDescent="0.25">
      <c r="A254">
        <v>253</v>
      </c>
      <c r="B254">
        <v>253</v>
      </c>
    </row>
    <row r="255" spans="1:4" x14ac:dyDescent="0.25">
      <c r="A255">
        <v>254</v>
      </c>
      <c r="B255">
        <v>254</v>
      </c>
      <c r="C255" t="s">
        <v>2731</v>
      </c>
    </row>
    <row r="256" spans="1:4" x14ac:dyDescent="0.25">
      <c r="A256">
        <v>255</v>
      </c>
      <c r="B256">
        <v>255</v>
      </c>
      <c r="C256" t="s">
        <v>2732</v>
      </c>
    </row>
    <row r="257" spans="1:3" x14ac:dyDescent="0.25">
      <c r="A257">
        <v>256</v>
      </c>
      <c r="B257">
        <v>256</v>
      </c>
      <c r="C257" t="s">
        <v>2733</v>
      </c>
    </row>
    <row r="258" spans="1:3" x14ac:dyDescent="0.25">
      <c r="A258">
        <v>257</v>
      </c>
      <c r="B258">
        <v>257</v>
      </c>
      <c r="C258" t="s">
        <v>2734</v>
      </c>
    </row>
    <row r="259" spans="1:3" x14ac:dyDescent="0.25">
      <c r="A259">
        <v>258</v>
      </c>
      <c r="B259">
        <v>258</v>
      </c>
      <c r="C259" t="s">
        <v>2735</v>
      </c>
    </row>
    <row r="260" spans="1:3" x14ac:dyDescent="0.25">
      <c r="A260">
        <v>259</v>
      </c>
      <c r="B260">
        <v>259</v>
      </c>
      <c r="C260" t="s">
        <v>2736</v>
      </c>
    </row>
    <row r="261" spans="1:3" x14ac:dyDescent="0.25">
      <c r="A261">
        <v>260</v>
      </c>
      <c r="B261">
        <v>260</v>
      </c>
    </row>
    <row r="262" spans="1:3" x14ac:dyDescent="0.25">
      <c r="A262">
        <v>261</v>
      </c>
      <c r="B262">
        <v>261</v>
      </c>
      <c r="C262" t="s">
        <v>2737</v>
      </c>
    </row>
    <row r="263" spans="1:3" x14ac:dyDescent="0.25">
      <c r="A263">
        <v>262</v>
      </c>
      <c r="B263">
        <v>262</v>
      </c>
      <c r="C263" t="s">
        <v>2738</v>
      </c>
    </row>
    <row r="264" spans="1:3" x14ac:dyDescent="0.25">
      <c r="A264">
        <v>263</v>
      </c>
      <c r="B264">
        <v>263</v>
      </c>
      <c r="C264" t="s">
        <v>2739</v>
      </c>
    </row>
    <row r="265" spans="1:3" x14ac:dyDescent="0.25">
      <c r="A265">
        <v>264</v>
      </c>
      <c r="B265">
        <v>264</v>
      </c>
      <c r="C265" t="s">
        <v>2740</v>
      </c>
    </row>
    <row r="266" spans="1:3" x14ac:dyDescent="0.25">
      <c r="A266">
        <v>265</v>
      </c>
      <c r="B266">
        <v>265</v>
      </c>
    </row>
    <row r="267" spans="1:3" x14ac:dyDescent="0.25">
      <c r="A267">
        <v>266</v>
      </c>
      <c r="B267">
        <v>266</v>
      </c>
      <c r="C267" t="s">
        <v>2741</v>
      </c>
    </row>
    <row r="268" spans="1:3" x14ac:dyDescent="0.25">
      <c r="A268">
        <v>267</v>
      </c>
      <c r="B268">
        <v>267</v>
      </c>
      <c r="C268" t="s">
        <v>2742</v>
      </c>
    </row>
    <row r="269" spans="1:3" x14ac:dyDescent="0.25">
      <c r="A269">
        <v>268</v>
      </c>
      <c r="B269">
        <v>268</v>
      </c>
      <c r="C269" t="s">
        <v>2743</v>
      </c>
    </row>
    <row r="270" spans="1:3" x14ac:dyDescent="0.25">
      <c r="A270">
        <v>269</v>
      </c>
      <c r="B270">
        <v>269</v>
      </c>
      <c r="C270" t="s">
        <v>2744</v>
      </c>
    </row>
    <row r="271" spans="1:3" x14ac:dyDescent="0.25">
      <c r="A271">
        <v>270</v>
      </c>
      <c r="B271">
        <v>270</v>
      </c>
      <c r="C271" t="s">
        <v>2745</v>
      </c>
    </row>
    <row r="272" spans="1:3" x14ac:dyDescent="0.25">
      <c r="A272">
        <v>271</v>
      </c>
      <c r="B272">
        <v>271</v>
      </c>
      <c r="C272" t="s">
        <v>2746</v>
      </c>
    </row>
    <row r="273" spans="1:4" x14ac:dyDescent="0.25">
      <c r="A273">
        <v>272</v>
      </c>
      <c r="B273">
        <v>272</v>
      </c>
      <c r="C273" t="s">
        <v>2747</v>
      </c>
    </row>
    <row r="274" spans="1:4" x14ac:dyDescent="0.25">
      <c r="A274">
        <v>273</v>
      </c>
      <c r="B274">
        <v>273</v>
      </c>
      <c r="C274" t="s">
        <v>2748</v>
      </c>
    </row>
    <row r="275" spans="1:4" x14ac:dyDescent="0.25">
      <c r="A275">
        <v>274</v>
      </c>
      <c r="B275">
        <v>274</v>
      </c>
      <c r="C275" t="s">
        <v>2749</v>
      </c>
    </row>
    <row r="276" spans="1:4" x14ac:dyDescent="0.25">
      <c r="A276">
        <v>275</v>
      </c>
      <c r="B276">
        <v>275</v>
      </c>
      <c r="C276" t="s">
        <v>2750</v>
      </c>
    </row>
    <row r="277" spans="1:4" x14ac:dyDescent="0.25">
      <c r="A277">
        <v>276</v>
      </c>
      <c r="B277">
        <v>276</v>
      </c>
      <c r="C277" t="s">
        <v>2751</v>
      </c>
    </row>
    <row r="278" spans="1:4" x14ac:dyDescent="0.25">
      <c r="A278">
        <v>277</v>
      </c>
      <c r="B278">
        <v>277</v>
      </c>
      <c r="C278" t="s">
        <v>2752</v>
      </c>
    </row>
    <row r="279" spans="1:4" x14ac:dyDescent="0.25">
      <c r="A279">
        <v>278</v>
      </c>
      <c r="B279">
        <v>278</v>
      </c>
      <c r="C279" t="s">
        <v>2753</v>
      </c>
    </row>
    <row r="280" spans="1:4" x14ac:dyDescent="0.25">
      <c r="A280">
        <v>279</v>
      </c>
      <c r="B280">
        <v>279</v>
      </c>
    </row>
    <row r="281" spans="1:4" x14ac:dyDescent="0.25">
      <c r="A281">
        <v>280</v>
      </c>
      <c r="B281">
        <v>280</v>
      </c>
      <c r="C281" t="s">
        <v>2754</v>
      </c>
    </row>
    <row r="282" spans="1:4" x14ac:dyDescent="0.25">
      <c r="A282">
        <v>281</v>
      </c>
      <c r="B282">
        <v>281</v>
      </c>
      <c r="C282" t="s">
        <v>2755</v>
      </c>
    </row>
    <row r="283" spans="1:4" x14ac:dyDescent="0.25">
      <c r="A283">
        <v>282</v>
      </c>
      <c r="B283">
        <v>282</v>
      </c>
      <c r="C283" t="s">
        <v>2756</v>
      </c>
    </row>
    <row r="284" spans="1:4" x14ac:dyDescent="0.25">
      <c r="A284">
        <v>283</v>
      </c>
      <c r="B284">
        <v>283</v>
      </c>
      <c r="C284" t="s">
        <v>2757</v>
      </c>
    </row>
    <row r="285" spans="1:4" x14ac:dyDescent="0.25">
      <c r="A285">
        <v>284</v>
      </c>
      <c r="B285">
        <v>284</v>
      </c>
      <c r="C285" t="s">
        <v>2758</v>
      </c>
    </row>
    <row r="286" spans="1:4" x14ac:dyDescent="0.25">
      <c r="A286">
        <v>285</v>
      </c>
      <c r="B286">
        <v>285</v>
      </c>
    </row>
    <row r="287" spans="1:4" x14ac:dyDescent="0.25">
      <c r="A287">
        <v>286</v>
      </c>
      <c r="B287">
        <v>286</v>
      </c>
    </row>
    <row r="288" spans="1:4" x14ac:dyDescent="0.25">
      <c r="A288">
        <v>287</v>
      </c>
      <c r="B288">
        <v>287</v>
      </c>
      <c r="C288" t="s">
        <v>2759</v>
      </c>
      <c r="D288" t="s">
        <v>2760</v>
      </c>
    </row>
    <row r="289" spans="1:4" x14ac:dyDescent="0.25">
      <c r="A289">
        <v>288</v>
      </c>
      <c r="B289">
        <v>288</v>
      </c>
    </row>
    <row r="290" spans="1:4" x14ac:dyDescent="0.25">
      <c r="A290">
        <v>289</v>
      </c>
      <c r="B290">
        <v>289</v>
      </c>
      <c r="C290" t="s">
        <v>2761</v>
      </c>
    </row>
    <row r="291" spans="1:4" x14ac:dyDescent="0.25">
      <c r="A291">
        <v>290</v>
      </c>
      <c r="B291">
        <v>290</v>
      </c>
      <c r="C291" t="s">
        <v>2762</v>
      </c>
    </row>
    <row r="292" spans="1:4" x14ac:dyDescent="0.25">
      <c r="A292">
        <v>291</v>
      </c>
      <c r="B292">
        <v>291</v>
      </c>
      <c r="C292" t="s">
        <v>2763</v>
      </c>
    </row>
    <row r="293" spans="1:4" x14ac:dyDescent="0.25">
      <c r="A293">
        <v>292</v>
      </c>
      <c r="B293">
        <v>292</v>
      </c>
      <c r="C293" t="s">
        <v>2764</v>
      </c>
    </row>
    <row r="294" spans="1:4" x14ac:dyDescent="0.25">
      <c r="A294">
        <v>293</v>
      </c>
      <c r="B294">
        <v>293</v>
      </c>
      <c r="C294" t="s">
        <v>2765</v>
      </c>
      <c r="D294" t="s">
        <v>2766</v>
      </c>
    </row>
    <row r="295" spans="1:4" x14ac:dyDescent="0.25">
      <c r="A295">
        <v>294</v>
      </c>
      <c r="B295">
        <v>294</v>
      </c>
      <c r="C295" t="s">
        <v>2767</v>
      </c>
    </row>
    <row r="296" spans="1:4" x14ac:dyDescent="0.25">
      <c r="A296">
        <v>295</v>
      </c>
      <c r="B296">
        <v>295</v>
      </c>
      <c r="C296" t="s">
        <v>2768</v>
      </c>
      <c r="D296" t="s">
        <v>2769</v>
      </c>
    </row>
    <row r="297" spans="1:4" x14ac:dyDescent="0.25">
      <c r="A297">
        <v>296</v>
      </c>
      <c r="B297">
        <v>296</v>
      </c>
      <c r="C297" t="s">
        <v>2770</v>
      </c>
    </row>
    <row r="298" spans="1:4" x14ac:dyDescent="0.25">
      <c r="A298">
        <v>297</v>
      </c>
      <c r="B298">
        <v>297</v>
      </c>
      <c r="C298" t="s">
        <v>2771</v>
      </c>
    </row>
    <row r="299" spans="1:4" x14ac:dyDescent="0.25">
      <c r="A299">
        <v>298</v>
      </c>
      <c r="B299">
        <v>298</v>
      </c>
      <c r="C299" t="s">
        <v>2772</v>
      </c>
    </row>
    <row r="300" spans="1:4" x14ac:dyDescent="0.25">
      <c r="A300">
        <v>299</v>
      </c>
      <c r="B300">
        <v>299</v>
      </c>
      <c r="C300" t="s">
        <v>2773</v>
      </c>
      <c r="D300" t="s">
        <v>2774</v>
      </c>
    </row>
    <row r="301" spans="1:4" x14ac:dyDescent="0.25">
      <c r="A301">
        <v>300</v>
      </c>
      <c r="B301">
        <v>300</v>
      </c>
    </row>
    <row r="302" spans="1:4" x14ac:dyDescent="0.25">
      <c r="A302">
        <v>301</v>
      </c>
      <c r="B302">
        <v>301</v>
      </c>
      <c r="C302" t="s">
        <v>2775</v>
      </c>
    </row>
    <row r="303" spans="1:4" x14ac:dyDescent="0.25">
      <c r="A303">
        <v>302</v>
      </c>
      <c r="B303">
        <v>302</v>
      </c>
      <c r="C303" t="s">
        <v>2776</v>
      </c>
    </row>
    <row r="304" spans="1:4" x14ac:dyDescent="0.25">
      <c r="A304">
        <v>303</v>
      </c>
      <c r="B304">
        <v>303</v>
      </c>
      <c r="C304" t="s">
        <v>1037</v>
      </c>
    </row>
    <row r="305" spans="1:4" x14ac:dyDescent="0.25">
      <c r="A305">
        <v>304</v>
      </c>
      <c r="B305">
        <v>304</v>
      </c>
      <c r="C305" t="s">
        <v>2777</v>
      </c>
    </row>
    <row r="306" spans="1:4" x14ac:dyDescent="0.25">
      <c r="A306">
        <v>305</v>
      </c>
      <c r="B306">
        <v>305</v>
      </c>
      <c r="C306" t="s">
        <v>2778</v>
      </c>
    </row>
    <row r="307" spans="1:4" x14ac:dyDescent="0.25">
      <c r="A307">
        <v>306</v>
      </c>
      <c r="B307">
        <v>306</v>
      </c>
      <c r="C307" t="s">
        <v>2779</v>
      </c>
    </row>
    <row r="308" spans="1:4" x14ac:dyDescent="0.25">
      <c r="A308">
        <v>307</v>
      </c>
      <c r="B308">
        <v>307</v>
      </c>
      <c r="C308" t="s">
        <v>2780</v>
      </c>
    </row>
    <row r="309" spans="1:4" x14ac:dyDescent="0.25">
      <c r="A309">
        <v>308</v>
      </c>
      <c r="B309">
        <v>308</v>
      </c>
      <c r="C309" t="s">
        <v>2781</v>
      </c>
    </row>
    <row r="310" spans="1:4" x14ac:dyDescent="0.25">
      <c r="A310">
        <v>309</v>
      </c>
      <c r="B310">
        <v>309</v>
      </c>
      <c r="C310" t="s">
        <v>2782</v>
      </c>
    </row>
    <row r="311" spans="1:4" x14ac:dyDescent="0.25">
      <c r="A311">
        <v>310</v>
      </c>
      <c r="B311">
        <v>310</v>
      </c>
      <c r="C311" t="s">
        <v>2783</v>
      </c>
      <c r="D311" t="s">
        <v>2784</v>
      </c>
    </row>
    <row r="312" spans="1:4" x14ac:dyDescent="0.25">
      <c r="A312">
        <v>311</v>
      </c>
      <c r="B312">
        <v>311</v>
      </c>
      <c r="C312" t="s">
        <v>2785</v>
      </c>
    </row>
    <row r="313" spans="1:4" x14ac:dyDescent="0.25">
      <c r="A313">
        <v>312</v>
      </c>
      <c r="B313">
        <v>312</v>
      </c>
      <c r="C313" t="s">
        <v>2786</v>
      </c>
    </row>
    <row r="314" spans="1:4" x14ac:dyDescent="0.25">
      <c r="A314">
        <v>313</v>
      </c>
      <c r="B314">
        <v>313</v>
      </c>
      <c r="C314" t="s">
        <v>2787</v>
      </c>
    </row>
    <row r="315" spans="1:4" x14ac:dyDescent="0.25">
      <c r="A315">
        <v>314</v>
      </c>
      <c r="B315">
        <v>314</v>
      </c>
      <c r="C315" t="s">
        <v>2788</v>
      </c>
    </row>
    <row r="316" spans="1:4" x14ac:dyDescent="0.25">
      <c r="A316">
        <v>315</v>
      </c>
      <c r="B316">
        <v>315</v>
      </c>
      <c r="C316" t="s">
        <v>2789</v>
      </c>
    </row>
    <row r="317" spans="1:4" x14ac:dyDescent="0.25">
      <c r="A317">
        <v>316</v>
      </c>
      <c r="B317">
        <v>316</v>
      </c>
      <c r="C317" t="s">
        <v>2790</v>
      </c>
    </row>
    <row r="318" spans="1:4" x14ac:dyDescent="0.25">
      <c r="A318">
        <v>317</v>
      </c>
      <c r="B318">
        <v>317</v>
      </c>
      <c r="C318" t="s">
        <v>2791</v>
      </c>
    </row>
    <row r="319" spans="1:4" x14ac:dyDescent="0.25">
      <c r="A319">
        <v>318</v>
      </c>
      <c r="B319">
        <v>318</v>
      </c>
      <c r="C319" t="s">
        <v>2792</v>
      </c>
    </row>
    <row r="320" spans="1:4" x14ac:dyDescent="0.25">
      <c r="A320">
        <v>319</v>
      </c>
      <c r="B320">
        <v>319</v>
      </c>
      <c r="C320" t="s">
        <v>2793</v>
      </c>
    </row>
    <row r="321" spans="1:3" x14ac:dyDescent="0.25">
      <c r="A321">
        <v>320</v>
      </c>
      <c r="B321">
        <v>320</v>
      </c>
    </row>
    <row r="322" spans="1:3" x14ac:dyDescent="0.25">
      <c r="A322">
        <v>321</v>
      </c>
      <c r="B322">
        <v>321</v>
      </c>
      <c r="C322" t="s">
        <v>2794</v>
      </c>
    </row>
    <row r="323" spans="1:3" x14ac:dyDescent="0.25">
      <c r="A323">
        <v>322</v>
      </c>
      <c r="B323">
        <v>322</v>
      </c>
      <c r="C323" t="s">
        <v>2795</v>
      </c>
    </row>
    <row r="324" spans="1:3" x14ac:dyDescent="0.25">
      <c r="A324">
        <v>323</v>
      </c>
      <c r="B324">
        <v>323</v>
      </c>
      <c r="C324" t="s">
        <v>2796</v>
      </c>
    </row>
    <row r="325" spans="1:3" x14ac:dyDescent="0.25">
      <c r="A325">
        <v>324</v>
      </c>
      <c r="B325">
        <v>324</v>
      </c>
      <c r="C325" t="s">
        <v>2797</v>
      </c>
    </row>
    <row r="326" spans="1:3" x14ac:dyDescent="0.25">
      <c r="A326">
        <v>325</v>
      </c>
      <c r="B326">
        <v>325</v>
      </c>
      <c r="C326" t="s">
        <v>2798</v>
      </c>
    </row>
    <row r="327" spans="1:3" x14ac:dyDescent="0.25">
      <c r="A327">
        <v>326</v>
      </c>
      <c r="B327">
        <v>326</v>
      </c>
      <c r="C327" t="s">
        <v>2799</v>
      </c>
    </row>
    <row r="328" spans="1:3" x14ac:dyDescent="0.25">
      <c r="A328">
        <v>327</v>
      </c>
      <c r="B328">
        <v>327</v>
      </c>
      <c r="C328" t="s">
        <v>2800</v>
      </c>
    </row>
    <row r="329" spans="1:3" x14ac:dyDescent="0.25">
      <c r="A329">
        <v>328</v>
      </c>
      <c r="B329">
        <v>328</v>
      </c>
      <c r="C329" t="s">
        <v>2801</v>
      </c>
    </row>
    <row r="330" spans="1:3" x14ac:dyDescent="0.25">
      <c r="A330">
        <v>329</v>
      </c>
      <c r="B330">
        <v>329</v>
      </c>
      <c r="C330" t="s">
        <v>2802</v>
      </c>
    </row>
    <row r="331" spans="1:3" x14ac:dyDescent="0.25">
      <c r="A331">
        <v>330</v>
      </c>
      <c r="B331">
        <v>330</v>
      </c>
      <c r="C331" t="s">
        <v>2803</v>
      </c>
    </row>
    <row r="332" spans="1:3" x14ac:dyDescent="0.25">
      <c r="A332">
        <v>331</v>
      </c>
      <c r="B332">
        <v>331</v>
      </c>
      <c r="C332" t="s">
        <v>2804</v>
      </c>
    </row>
    <row r="333" spans="1:3" x14ac:dyDescent="0.25">
      <c r="A333">
        <v>332</v>
      </c>
      <c r="B333">
        <v>332</v>
      </c>
      <c r="C333" t="s">
        <v>2805</v>
      </c>
    </row>
    <row r="334" spans="1:3" x14ac:dyDescent="0.25">
      <c r="A334">
        <v>333</v>
      </c>
      <c r="B334">
        <v>333</v>
      </c>
      <c r="C334" t="s">
        <v>2806</v>
      </c>
    </row>
    <row r="335" spans="1:3" x14ac:dyDescent="0.25">
      <c r="A335">
        <v>334</v>
      </c>
      <c r="B335">
        <v>334</v>
      </c>
      <c r="C335" t="s">
        <v>2807</v>
      </c>
    </row>
    <row r="336" spans="1:3" x14ac:dyDescent="0.25">
      <c r="A336">
        <v>335</v>
      </c>
      <c r="B336">
        <v>335</v>
      </c>
      <c r="C336" t="s">
        <v>2808</v>
      </c>
    </row>
    <row r="337" spans="1:4" x14ac:dyDescent="0.25">
      <c r="A337">
        <v>336</v>
      </c>
      <c r="B337">
        <v>336</v>
      </c>
      <c r="C337" t="s">
        <v>2809</v>
      </c>
    </row>
    <row r="338" spans="1:4" x14ac:dyDescent="0.25">
      <c r="A338">
        <v>337</v>
      </c>
      <c r="B338">
        <v>337</v>
      </c>
    </row>
    <row r="339" spans="1:4" x14ac:dyDescent="0.25">
      <c r="A339">
        <v>338</v>
      </c>
      <c r="B339">
        <v>338</v>
      </c>
    </row>
    <row r="340" spans="1:4" x14ac:dyDescent="0.25">
      <c r="A340">
        <v>339</v>
      </c>
      <c r="B340">
        <v>339</v>
      </c>
      <c r="C340" t="s">
        <v>2810</v>
      </c>
    </row>
    <row r="341" spans="1:4" x14ac:dyDescent="0.25">
      <c r="A341">
        <v>340</v>
      </c>
      <c r="B341">
        <v>340</v>
      </c>
      <c r="C341" t="s">
        <v>2811</v>
      </c>
    </row>
    <row r="342" spans="1:4" x14ac:dyDescent="0.25">
      <c r="A342">
        <v>341</v>
      </c>
      <c r="B342">
        <v>341</v>
      </c>
      <c r="C342" t="s">
        <v>2812</v>
      </c>
    </row>
    <row r="343" spans="1:4" x14ac:dyDescent="0.25">
      <c r="A343">
        <v>342</v>
      </c>
      <c r="B343">
        <v>342</v>
      </c>
      <c r="C343" t="s">
        <v>2813</v>
      </c>
    </row>
    <row r="344" spans="1:4" x14ac:dyDescent="0.25">
      <c r="A344">
        <v>343</v>
      </c>
      <c r="B344">
        <v>343</v>
      </c>
    </row>
    <row r="345" spans="1:4" x14ac:dyDescent="0.25">
      <c r="A345">
        <v>344</v>
      </c>
      <c r="B345">
        <v>344</v>
      </c>
      <c r="C345" t="s">
        <v>2814</v>
      </c>
    </row>
    <row r="346" spans="1:4" x14ac:dyDescent="0.25">
      <c r="A346">
        <v>345</v>
      </c>
      <c r="B346">
        <v>345</v>
      </c>
      <c r="C346" t="s">
        <v>2815</v>
      </c>
    </row>
    <row r="347" spans="1:4" x14ac:dyDescent="0.25">
      <c r="A347">
        <v>346</v>
      </c>
      <c r="B347">
        <v>346</v>
      </c>
      <c r="C347" t="s">
        <v>2816</v>
      </c>
      <c r="D347" t="s">
        <v>2817</v>
      </c>
    </row>
    <row r="348" spans="1:4" x14ac:dyDescent="0.25">
      <c r="A348">
        <v>347</v>
      </c>
      <c r="B348">
        <v>347</v>
      </c>
      <c r="C348" t="s">
        <v>1061</v>
      </c>
    </row>
    <row r="349" spans="1:4" x14ac:dyDescent="0.25">
      <c r="A349">
        <v>348</v>
      </c>
      <c r="B349">
        <v>348</v>
      </c>
      <c r="C349" t="s">
        <v>2818</v>
      </c>
    </row>
    <row r="350" spans="1:4" x14ac:dyDescent="0.25">
      <c r="A350">
        <v>349</v>
      </c>
      <c r="B350">
        <v>349</v>
      </c>
      <c r="C350" t="s">
        <v>2819</v>
      </c>
    </row>
    <row r="351" spans="1:4" x14ac:dyDescent="0.25">
      <c r="A351">
        <v>350</v>
      </c>
      <c r="B351">
        <v>350</v>
      </c>
    </row>
    <row r="352" spans="1:4" x14ac:dyDescent="0.25">
      <c r="A352">
        <v>351</v>
      </c>
      <c r="B352">
        <v>351</v>
      </c>
      <c r="C352" t="s">
        <v>2820</v>
      </c>
    </row>
    <row r="353" spans="1:4" x14ac:dyDescent="0.25">
      <c r="A353">
        <v>352</v>
      </c>
      <c r="B353">
        <v>352</v>
      </c>
      <c r="C353" t="s">
        <v>2821</v>
      </c>
    </row>
    <row r="354" spans="1:4" x14ac:dyDescent="0.25">
      <c r="A354">
        <v>353</v>
      </c>
      <c r="B354">
        <v>353</v>
      </c>
      <c r="C354" t="s">
        <v>2822</v>
      </c>
    </row>
    <row r="355" spans="1:4" x14ac:dyDescent="0.25">
      <c r="A355">
        <v>354</v>
      </c>
      <c r="B355">
        <v>354</v>
      </c>
      <c r="C355" t="s">
        <v>2821</v>
      </c>
    </row>
    <row r="356" spans="1:4" x14ac:dyDescent="0.25">
      <c r="A356">
        <v>355</v>
      </c>
      <c r="B356">
        <v>355</v>
      </c>
      <c r="C356" t="s">
        <v>2823</v>
      </c>
    </row>
    <row r="357" spans="1:4" x14ac:dyDescent="0.25">
      <c r="A357">
        <v>356</v>
      </c>
      <c r="B357">
        <v>356</v>
      </c>
    </row>
    <row r="358" spans="1:4" x14ac:dyDescent="0.25">
      <c r="A358">
        <v>357</v>
      </c>
      <c r="B358">
        <v>357</v>
      </c>
      <c r="C358" t="s">
        <v>2824</v>
      </c>
    </row>
    <row r="359" spans="1:4" x14ac:dyDescent="0.25">
      <c r="A359">
        <v>358</v>
      </c>
      <c r="B359">
        <v>358</v>
      </c>
      <c r="C359" t="s">
        <v>2825</v>
      </c>
    </row>
    <row r="360" spans="1:4" x14ac:dyDescent="0.25">
      <c r="A360">
        <v>359</v>
      </c>
      <c r="B360">
        <v>359</v>
      </c>
      <c r="C360" t="s">
        <v>2826</v>
      </c>
    </row>
    <row r="361" spans="1:4" x14ac:dyDescent="0.25">
      <c r="A361">
        <v>360</v>
      </c>
      <c r="B361">
        <v>360</v>
      </c>
      <c r="C361" t="s">
        <v>2565</v>
      </c>
    </row>
    <row r="362" spans="1:4" x14ac:dyDescent="0.25">
      <c r="A362">
        <v>361</v>
      </c>
      <c r="B362">
        <v>361</v>
      </c>
      <c r="C362" t="s">
        <v>2827</v>
      </c>
    </row>
    <row r="363" spans="1:4" x14ac:dyDescent="0.25">
      <c r="A363">
        <v>362</v>
      </c>
      <c r="B363">
        <v>362</v>
      </c>
      <c r="C363" t="s">
        <v>2828</v>
      </c>
      <c r="D363" t="s">
        <v>2829</v>
      </c>
    </row>
    <row r="364" spans="1:4" x14ac:dyDescent="0.25">
      <c r="A364">
        <v>363</v>
      </c>
      <c r="B364">
        <v>363</v>
      </c>
      <c r="C364" t="s">
        <v>2830</v>
      </c>
    </row>
    <row r="365" spans="1:4" x14ac:dyDescent="0.25">
      <c r="A365">
        <v>364</v>
      </c>
      <c r="B365">
        <v>364</v>
      </c>
      <c r="C365" t="s">
        <v>2831</v>
      </c>
    </row>
    <row r="366" spans="1:4" x14ac:dyDescent="0.25">
      <c r="A366">
        <v>365</v>
      </c>
      <c r="B366">
        <v>365</v>
      </c>
      <c r="C366" t="s">
        <v>2832</v>
      </c>
    </row>
    <row r="367" spans="1:4" x14ac:dyDescent="0.25">
      <c r="A367">
        <v>366</v>
      </c>
      <c r="B367">
        <v>366</v>
      </c>
    </row>
    <row r="368" spans="1:4" x14ac:dyDescent="0.25">
      <c r="A368">
        <v>367</v>
      </c>
      <c r="B368">
        <v>367</v>
      </c>
      <c r="C368" t="s">
        <v>2789</v>
      </c>
    </row>
    <row r="369" spans="1:3" x14ac:dyDescent="0.25">
      <c r="A369">
        <v>368</v>
      </c>
      <c r="B369">
        <v>368</v>
      </c>
      <c r="C369" t="s">
        <v>2790</v>
      </c>
    </row>
    <row r="370" spans="1:3" x14ac:dyDescent="0.25">
      <c r="A370">
        <v>369</v>
      </c>
      <c r="B370">
        <v>369</v>
      </c>
      <c r="C370" t="s">
        <v>2791</v>
      </c>
    </row>
    <row r="371" spans="1:3" x14ac:dyDescent="0.25">
      <c r="A371">
        <v>370</v>
      </c>
      <c r="B371">
        <v>370</v>
      </c>
      <c r="C371" t="s">
        <v>2792</v>
      </c>
    </row>
    <row r="372" spans="1:3" x14ac:dyDescent="0.25">
      <c r="A372">
        <v>371</v>
      </c>
      <c r="B372">
        <v>371</v>
      </c>
      <c r="C372" t="s">
        <v>2793</v>
      </c>
    </row>
    <row r="373" spans="1:3" x14ac:dyDescent="0.25">
      <c r="A373">
        <v>372</v>
      </c>
      <c r="B373">
        <v>372</v>
      </c>
    </row>
    <row r="374" spans="1:3" x14ac:dyDescent="0.25">
      <c r="A374">
        <v>373</v>
      </c>
      <c r="B374">
        <v>373</v>
      </c>
      <c r="C374" t="s">
        <v>2833</v>
      </c>
    </row>
    <row r="375" spans="1:3" x14ac:dyDescent="0.25">
      <c r="A375">
        <v>374</v>
      </c>
      <c r="B375">
        <v>374</v>
      </c>
      <c r="C375" t="s">
        <v>2834</v>
      </c>
    </row>
    <row r="376" spans="1:3" x14ac:dyDescent="0.25">
      <c r="A376">
        <v>375</v>
      </c>
      <c r="B376">
        <v>375</v>
      </c>
      <c r="C376" t="s">
        <v>2835</v>
      </c>
    </row>
    <row r="377" spans="1:3" x14ac:dyDescent="0.25">
      <c r="A377">
        <v>376</v>
      </c>
      <c r="B377">
        <v>376</v>
      </c>
      <c r="C377" t="s">
        <v>2836</v>
      </c>
    </row>
    <row r="378" spans="1:3" x14ac:dyDescent="0.25">
      <c r="A378">
        <v>377</v>
      </c>
      <c r="B378">
        <v>377</v>
      </c>
    </row>
    <row r="379" spans="1:3" x14ac:dyDescent="0.25">
      <c r="A379">
        <v>378</v>
      </c>
      <c r="B379">
        <v>378</v>
      </c>
    </row>
    <row r="380" spans="1:3" x14ac:dyDescent="0.25">
      <c r="A380">
        <v>379</v>
      </c>
      <c r="B380">
        <v>379</v>
      </c>
      <c r="C380" t="s">
        <v>2837</v>
      </c>
    </row>
    <row r="381" spans="1:3" x14ac:dyDescent="0.25">
      <c r="A381">
        <v>380</v>
      </c>
      <c r="B381">
        <v>380</v>
      </c>
      <c r="C381" t="s">
        <v>2838</v>
      </c>
    </row>
    <row r="382" spans="1:3" x14ac:dyDescent="0.25">
      <c r="A382">
        <v>381</v>
      </c>
      <c r="B382">
        <v>381</v>
      </c>
      <c r="C382" t="s">
        <v>2839</v>
      </c>
    </row>
    <row r="383" spans="1:3" x14ac:dyDescent="0.25">
      <c r="A383">
        <v>382</v>
      </c>
      <c r="B383">
        <v>382</v>
      </c>
      <c r="C383" t="s">
        <v>2840</v>
      </c>
    </row>
    <row r="384" spans="1:3" x14ac:dyDescent="0.25">
      <c r="A384">
        <v>383</v>
      </c>
      <c r="B384">
        <v>383</v>
      </c>
      <c r="C384" t="s">
        <v>2841</v>
      </c>
    </row>
    <row r="385" spans="1:3" x14ac:dyDescent="0.25">
      <c r="A385">
        <v>384</v>
      </c>
      <c r="B385">
        <v>384</v>
      </c>
      <c r="C385" t="s">
        <v>2842</v>
      </c>
    </row>
    <row r="386" spans="1:3" x14ac:dyDescent="0.25">
      <c r="A386">
        <v>385</v>
      </c>
      <c r="B386">
        <v>385</v>
      </c>
      <c r="C386" t="s">
        <v>2843</v>
      </c>
    </row>
    <row r="387" spans="1:3" x14ac:dyDescent="0.25">
      <c r="A387">
        <v>386</v>
      </c>
      <c r="B387">
        <v>386</v>
      </c>
      <c r="C387" t="s">
        <v>2844</v>
      </c>
    </row>
    <row r="388" spans="1:3" x14ac:dyDescent="0.25">
      <c r="A388">
        <v>387</v>
      </c>
      <c r="B388">
        <v>387</v>
      </c>
      <c r="C388" t="s">
        <v>2845</v>
      </c>
    </row>
    <row r="389" spans="1:3" x14ac:dyDescent="0.25">
      <c r="A389">
        <v>388</v>
      </c>
      <c r="B389">
        <v>388</v>
      </c>
    </row>
    <row r="390" spans="1:3" x14ac:dyDescent="0.25">
      <c r="A390">
        <v>389</v>
      </c>
      <c r="B390">
        <v>389</v>
      </c>
      <c r="C390" t="s">
        <v>2731</v>
      </c>
    </row>
    <row r="391" spans="1:3" x14ac:dyDescent="0.25">
      <c r="A391">
        <v>390</v>
      </c>
      <c r="B391">
        <v>390</v>
      </c>
      <c r="C391" t="s">
        <v>2846</v>
      </c>
    </row>
    <row r="392" spans="1:3" x14ac:dyDescent="0.25">
      <c r="A392">
        <v>391</v>
      </c>
      <c r="B392">
        <v>391</v>
      </c>
      <c r="C392" t="s">
        <v>2847</v>
      </c>
    </row>
    <row r="393" spans="1:3" x14ac:dyDescent="0.25">
      <c r="A393">
        <v>392</v>
      </c>
      <c r="B393">
        <v>392</v>
      </c>
      <c r="C393" t="s">
        <v>2848</v>
      </c>
    </row>
    <row r="394" spans="1:3" x14ac:dyDescent="0.25">
      <c r="A394">
        <v>393</v>
      </c>
      <c r="B394">
        <v>393</v>
      </c>
      <c r="C394" t="s">
        <v>2734</v>
      </c>
    </row>
    <row r="395" spans="1:3" x14ac:dyDescent="0.25">
      <c r="A395">
        <v>394</v>
      </c>
      <c r="B395">
        <v>394</v>
      </c>
      <c r="C395" t="s">
        <v>2735</v>
      </c>
    </row>
    <row r="396" spans="1:3" x14ac:dyDescent="0.25">
      <c r="A396">
        <v>395</v>
      </c>
      <c r="B396">
        <v>395</v>
      </c>
      <c r="C396" t="s">
        <v>2736</v>
      </c>
    </row>
    <row r="397" spans="1:3" x14ac:dyDescent="0.25">
      <c r="A397">
        <v>396</v>
      </c>
      <c r="B397">
        <v>396</v>
      </c>
    </row>
    <row r="398" spans="1:3" x14ac:dyDescent="0.25">
      <c r="A398">
        <v>397</v>
      </c>
      <c r="B398">
        <v>397</v>
      </c>
      <c r="C398" t="s">
        <v>2833</v>
      </c>
    </row>
    <row r="399" spans="1:3" x14ac:dyDescent="0.25">
      <c r="A399">
        <v>398</v>
      </c>
      <c r="B399">
        <v>398</v>
      </c>
      <c r="C399" t="s">
        <v>2849</v>
      </c>
    </row>
    <row r="400" spans="1:3" x14ac:dyDescent="0.25">
      <c r="A400">
        <v>399</v>
      </c>
      <c r="B400">
        <v>399</v>
      </c>
      <c r="C400" t="s">
        <v>2850</v>
      </c>
    </row>
    <row r="401" spans="1:3" x14ac:dyDescent="0.25">
      <c r="A401">
        <v>400</v>
      </c>
      <c r="B401">
        <v>400</v>
      </c>
      <c r="C401" t="s">
        <v>2851</v>
      </c>
    </row>
    <row r="402" spans="1:3" x14ac:dyDescent="0.25">
      <c r="A402">
        <v>401</v>
      </c>
      <c r="B402">
        <v>401</v>
      </c>
      <c r="C402" t="s">
        <v>2852</v>
      </c>
    </row>
    <row r="403" spans="1:3" x14ac:dyDescent="0.25">
      <c r="A403">
        <v>402</v>
      </c>
      <c r="B403">
        <v>402</v>
      </c>
      <c r="C403" t="s">
        <v>2853</v>
      </c>
    </row>
    <row r="404" spans="1:3" x14ac:dyDescent="0.25">
      <c r="A404">
        <v>403</v>
      </c>
      <c r="B404">
        <v>403</v>
      </c>
      <c r="C404" t="s">
        <v>2854</v>
      </c>
    </row>
    <row r="405" spans="1:3" x14ac:dyDescent="0.25">
      <c r="A405">
        <v>404</v>
      </c>
      <c r="B405">
        <v>404</v>
      </c>
      <c r="C405" t="s">
        <v>2855</v>
      </c>
    </row>
    <row r="406" spans="1:3" x14ac:dyDescent="0.25">
      <c r="A406">
        <v>405</v>
      </c>
      <c r="B406">
        <v>405</v>
      </c>
      <c r="C406" t="s">
        <v>2856</v>
      </c>
    </row>
    <row r="407" spans="1:3" x14ac:dyDescent="0.25">
      <c r="A407">
        <v>406</v>
      </c>
      <c r="B407">
        <v>406</v>
      </c>
      <c r="C407" t="s">
        <v>2857</v>
      </c>
    </row>
    <row r="408" spans="1:3" x14ac:dyDescent="0.25">
      <c r="A408">
        <v>407</v>
      </c>
      <c r="B408">
        <v>407</v>
      </c>
      <c r="C408" t="s">
        <v>2858</v>
      </c>
    </row>
    <row r="409" spans="1:3" x14ac:dyDescent="0.25">
      <c r="A409">
        <v>408</v>
      </c>
      <c r="B409">
        <v>408</v>
      </c>
    </row>
    <row r="410" spans="1:3" x14ac:dyDescent="0.25">
      <c r="A410">
        <v>409</v>
      </c>
      <c r="B410">
        <v>409</v>
      </c>
    </row>
    <row r="411" spans="1:3" x14ac:dyDescent="0.25">
      <c r="A411">
        <v>410</v>
      </c>
      <c r="B411">
        <v>410</v>
      </c>
      <c r="C411" t="s">
        <v>2859</v>
      </c>
    </row>
    <row r="412" spans="1:3" x14ac:dyDescent="0.25">
      <c r="A412">
        <v>411</v>
      </c>
      <c r="B412">
        <v>411</v>
      </c>
      <c r="C412" t="s">
        <v>2860</v>
      </c>
    </row>
    <row r="413" spans="1:3" x14ac:dyDescent="0.25">
      <c r="A413">
        <v>412</v>
      </c>
      <c r="B413">
        <v>412</v>
      </c>
      <c r="C413" t="s">
        <v>2861</v>
      </c>
    </row>
    <row r="414" spans="1:3" x14ac:dyDescent="0.25">
      <c r="A414">
        <v>413</v>
      </c>
      <c r="B414">
        <v>413</v>
      </c>
      <c r="C414" t="s">
        <v>2862</v>
      </c>
    </row>
    <row r="415" spans="1:3" x14ac:dyDescent="0.25">
      <c r="A415">
        <v>414</v>
      </c>
      <c r="B415">
        <v>414</v>
      </c>
      <c r="C415" t="s">
        <v>2863</v>
      </c>
    </row>
    <row r="416" spans="1:3" x14ac:dyDescent="0.25">
      <c r="A416">
        <v>415</v>
      </c>
      <c r="B416">
        <v>415</v>
      </c>
    </row>
    <row r="417" spans="1:3" x14ac:dyDescent="0.25">
      <c r="A417">
        <v>416</v>
      </c>
      <c r="B417">
        <v>416</v>
      </c>
      <c r="C417" t="s">
        <v>2748</v>
      </c>
    </row>
    <row r="418" spans="1:3" x14ac:dyDescent="0.25">
      <c r="A418">
        <v>417</v>
      </c>
      <c r="B418">
        <v>417</v>
      </c>
      <c r="C418" t="s">
        <v>2749</v>
      </c>
    </row>
    <row r="419" spans="1:3" x14ac:dyDescent="0.25">
      <c r="A419">
        <v>418</v>
      </c>
      <c r="B419">
        <v>418</v>
      </c>
      <c r="C419" t="s">
        <v>2750</v>
      </c>
    </row>
    <row r="420" spans="1:3" x14ac:dyDescent="0.25">
      <c r="A420">
        <v>419</v>
      </c>
      <c r="B420">
        <v>419</v>
      </c>
      <c r="C420" t="s">
        <v>2864</v>
      </c>
    </row>
    <row r="421" spans="1:3" x14ac:dyDescent="0.25">
      <c r="A421">
        <v>420</v>
      </c>
      <c r="B421">
        <v>420</v>
      </c>
      <c r="C421" t="s">
        <v>2751</v>
      </c>
    </row>
    <row r="422" spans="1:3" x14ac:dyDescent="0.25">
      <c r="A422">
        <v>421</v>
      </c>
      <c r="B422">
        <v>421</v>
      </c>
      <c r="C422" t="s">
        <v>2752</v>
      </c>
    </row>
    <row r="423" spans="1:3" x14ac:dyDescent="0.25">
      <c r="A423">
        <v>422</v>
      </c>
      <c r="B423">
        <v>422</v>
      </c>
      <c r="C423" t="s">
        <v>2753</v>
      </c>
    </row>
    <row r="424" spans="1:3" x14ac:dyDescent="0.25">
      <c r="A424">
        <v>423</v>
      </c>
      <c r="B424">
        <v>423</v>
      </c>
    </row>
    <row r="425" spans="1:3" x14ac:dyDescent="0.25">
      <c r="A425">
        <v>424</v>
      </c>
      <c r="B425">
        <v>424</v>
      </c>
    </row>
    <row r="426" spans="1:3" x14ac:dyDescent="0.25">
      <c r="A426">
        <v>425</v>
      </c>
      <c r="B426">
        <v>425</v>
      </c>
      <c r="C426" t="s">
        <v>2865</v>
      </c>
    </row>
    <row r="427" spans="1:3" x14ac:dyDescent="0.25">
      <c r="A427">
        <v>426</v>
      </c>
      <c r="B427">
        <v>426</v>
      </c>
      <c r="C427" t="s">
        <v>2866</v>
      </c>
    </row>
    <row r="428" spans="1:3" x14ac:dyDescent="0.25">
      <c r="A428">
        <v>427</v>
      </c>
      <c r="B428">
        <v>427</v>
      </c>
      <c r="C428" t="s">
        <v>2867</v>
      </c>
    </row>
    <row r="429" spans="1:3" x14ac:dyDescent="0.25">
      <c r="A429">
        <v>428</v>
      </c>
      <c r="B429">
        <v>428</v>
      </c>
      <c r="C429" t="s">
        <v>2868</v>
      </c>
    </row>
    <row r="430" spans="1:3" x14ac:dyDescent="0.25">
      <c r="A430">
        <v>429</v>
      </c>
      <c r="B430">
        <v>429</v>
      </c>
      <c r="C430" t="s">
        <v>2869</v>
      </c>
    </row>
    <row r="431" spans="1:3" x14ac:dyDescent="0.25">
      <c r="A431">
        <v>430</v>
      </c>
      <c r="B431">
        <v>430</v>
      </c>
      <c r="C431" t="s">
        <v>2870</v>
      </c>
    </row>
    <row r="432" spans="1:3" x14ac:dyDescent="0.25">
      <c r="A432">
        <v>431</v>
      </c>
      <c r="B432">
        <v>431</v>
      </c>
      <c r="C432" t="s">
        <v>2871</v>
      </c>
    </row>
    <row r="433" spans="1:4" x14ac:dyDescent="0.25">
      <c r="A433">
        <v>432</v>
      </c>
      <c r="B433">
        <v>432</v>
      </c>
      <c r="C433" t="s">
        <v>2872</v>
      </c>
    </row>
    <row r="434" spans="1:4" x14ac:dyDescent="0.25">
      <c r="A434">
        <v>433</v>
      </c>
      <c r="B434">
        <v>433</v>
      </c>
    </row>
    <row r="435" spans="1:4" x14ac:dyDescent="0.25">
      <c r="A435">
        <v>434</v>
      </c>
      <c r="B435">
        <v>434</v>
      </c>
      <c r="C435" t="s">
        <v>2873</v>
      </c>
    </row>
    <row r="436" spans="1:4" x14ac:dyDescent="0.25">
      <c r="A436">
        <v>435</v>
      </c>
      <c r="B436">
        <v>435</v>
      </c>
    </row>
    <row r="437" spans="1:4" x14ac:dyDescent="0.25">
      <c r="A437">
        <v>436</v>
      </c>
      <c r="B437">
        <v>436</v>
      </c>
      <c r="C437" t="s">
        <v>2643</v>
      </c>
      <c r="D437" t="s">
        <v>2644</v>
      </c>
    </row>
    <row r="438" spans="1:4" x14ac:dyDescent="0.25">
      <c r="A438">
        <v>437</v>
      </c>
      <c r="B438">
        <v>437</v>
      </c>
    </row>
    <row r="439" spans="1:4" x14ac:dyDescent="0.25">
      <c r="A439">
        <v>438</v>
      </c>
      <c r="B439">
        <v>438</v>
      </c>
      <c r="C439" t="s">
        <v>2645</v>
      </c>
    </row>
    <row r="440" spans="1:4" x14ac:dyDescent="0.25">
      <c r="A440">
        <v>439</v>
      </c>
      <c r="B440">
        <v>439</v>
      </c>
      <c r="C440" t="s">
        <v>2646</v>
      </c>
    </row>
    <row r="441" spans="1:4" x14ac:dyDescent="0.25">
      <c r="A441">
        <v>440</v>
      </c>
      <c r="B441">
        <v>440</v>
      </c>
      <c r="C441" t="s">
        <v>2647</v>
      </c>
    </row>
    <row r="442" spans="1:4" x14ac:dyDescent="0.25">
      <c r="A442">
        <v>441</v>
      </c>
      <c r="B442">
        <v>441</v>
      </c>
    </row>
    <row r="443" spans="1:4" x14ac:dyDescent="0.25">
      <c r="A443">
        <v>442</v>
      </c>
      <c r="B443">
        <v>442</v>
      </c>
    </row>
    <row r="444" spans="1:4" x14ac:dyDescent="0.25">
      <c r="A444">
        <v>443</v>
      </c>
      <c r="B444">
        <v>443</v>
      </c>
      <c r="C444" t="s">
        <v>2874</v>
      </c>
    </row>
    <row r="445" spans="1:4" x14ac:dyDescent="0.25">
      <c r="A445">
        <v>444</v>
      </c>
      <c r="B445">
        <v>444</v>
      </c>
      <c r="C445" t="s">
        <v>2875</v>
      </c>
    </row>
    <row r="446" spans="1:4" x14ac:dyDescent="0.25">
      <c r="A446">
        <v>445</v>
      </c>
      <c r="B446">
        <v>445</v>
      </c>
      <c r="C446" t="s">
        <v>2876</v>
      </c>
    </row>
    <row r="447" spans="1:4" x14ac:dyDescent="0.25">
      <c r="A447">
        <v>446</v>
      </c>
      <c r="B447">
        <v>446</v>
      </c>
      <c r="C447" t="s">
        <v>2877</v>
      </c>
    </row>
    <row r="448" spans="1:4" x14ac:dyDescent="0.25">
      <c r="A448">
        <v>447</v>
      </c>
      <c r="B448">
        <v>447</v>
      </c>
    </row>
    <row r="449" spans="1:3" x14ac:dyDescent="0.25">
      <c r="A449">
        <v>448</v>
      </c>
      <c r="B449">
        <v>448</v>
      </c>
    </row>
    <row r="450" spans="1:3" x14ac:dyDescent="0.25">
      <c r="A450">
        <v>449</v>
      </c>
      <c r="B450">
        <v>449</v>
      </c>
      <c r="C450" t="s">
        <v>2878</v>
      </c>
    </row>
    <row r="451" spans="1:3" x14ac:dyDescent="0.25">
      <c r="A451">
        <v>450</v>
      </c>
      <c r="B451">
        <v>450</v>
      </c>
      <c r="C451" t="s">
        <v>2844</v>
      </c>
    </row>
    <row r="452" spans="1:3" x14ac:dyDescent="0.25">
      <c r="A452">
        <v>451</v>
      </c>
      <c r="B452">
        <v>451</v>
      </c>
      <c r="C452" t="s">
        <v>2879</v>
      </c>
    </row>
    <row r="453" spans="1:3" x14ac:dyDescent="0.25">
      <c r="A453">
        <v>452</v>
      </c>
      <c r="B453">
        <v>452</v>
      </c>
      <c r="C453" t="s">
        <v>2880</v>
      </c>
    </row>
    <row r="454" spans="1:3" x14ac:dyDescent="0.25">
      <c r="A454">
        <v>453</v>
      </c>
      <c r="B454">
        <v>453</v>
      </c>
      <c r="C454" t="s">
        <v>2841</v>
      </c>
    </row>
    <row r="455" spans="1:3" x14ac:dyDescent="0.25">
      <c r="A455">
        <v>454</v>
      </c>
      <c r="B455">
        <v>454</v>
      </c>
      <c r="C455" t="s">
        <v>2842</v>
      </c>
    </row>
    <row r="456" spans="1:3" x14ac:dyDescent="0.25">
      <c r="A456">
        <v>455</v>
      </c>
      <c r="B456">
        <v>455</v>
      </c>
      <c r="C456" t="s">
        <v>2840</v>
      </c>
    </row>
    <row r="457" spans="1:3" x14ac:dyDescent="0.25">
      <c r="A457">
        <v>456</v>
      </c>
      <c r="B457">
        <v>456</v>
      </c>
    </row>
    <row r="458" spans="1:3" x14ac:dyDescent="0.25">
      <c r="A458">
        <v>457</v>
      </c>
      <c r="B458">
        <v>457</v>
      </c>
    </row>
    <row r="459" spans="1:3" x14ac:dyDescent="0.25">
      <c r="A459">
        <v>458</v>
      </c>
      <c r="B459">
        <v>458</v>
      </c>
      <c r="C459" t="s">
        <v>2881</v>
      </c>
    </row>
    <row r="460" spans="1:3" x14ac:dyDescent="0.25">
      <c r="A460">
        <v>459</v>
      </c>
      <c r="B460">
        <v>459</v>
      </c>
      <c r="C460" t="s">
        <v>2882</v>
      </c>
    </row>
    <row r="461" spans="1:3" x14ac:dyDescent="0.25">
      <c r="A461">
        <v>460</v>
      </c>
      <c r="B461">
        <v>460</v>
      </c>
      <c r="C461" t="s">
        <v>2883</v>
      </c>
    </row>
    <row r="462" spans="1:3" x14ac:dyDescent="0.25">
      <c r="A462">
        <v>461</v>
      </c>
      <c r="B462">
        <v>461</v>
      </c>
      <c r="C462" t="s">
        <v>2884</v>
      </c>
    </row>
    <row r="463" spans="1:3" x14ac:dyDescent="0.25">
      <c r="A463">
        <v>462</v>
      </c>
      <c r="B463">
        <v>462</v>
      </c>
      <c r="C463" t="s">
        <v>2885</v>
      </c>
    </row>
    <row r="464" spans="1:3" x14ac:dyDescent="0.25">
      <c r="A464">
        <v>463</v>
      </c>
      <c r="B464">
        <v>463</v>
      </c>
      <c r="C464" t="s">
        <v>2886</v>
      </c>
    </row>
    <row r="465" spans="1:4" x14ac:dyDescent="0.25">
      <c r="A465">
        <v>464</v>
      </c>
      <c r="B465">
        <v>464</v>
      </c>
    </row>
    <row r="466" spans="1:4" x14ac:dyDescent="0.25">
      <c r="A466">
        <v>465</v>
      </c>
      <c r="B466">
        <v>465</v>
      </c>
      <c r="C466" t="s">
        <v>2887</v>
      </c>
    </row>
    <row r="467" spans="1:4" x14ac:dyDescent="0.25">
      <c r="A467">
        <v>466</v>
      </c>
      <c r="B467">
        <v>466</v>
      </c>
      <c r="C467" t="s">
        <v>2888</v>
      </c>
    </row>
    <row r="468" spans="1:4" x14ac:dyDescent="0.25">
      <c r="A468">
        <v>467</v>
      </c>
      <c r="B468">
        <v>467</v>
      </c>
      <c r="C468" t="s">
        <v>2889</v>
      </c>
    </row>
    <row r="469" spans="1:4" x14ac:dyDescent="0.25">
      <c r="A469">
        <v>468</v>
      </c>
      <c r="B469">
        <v>468</v>
      </c>
      <c r="C469" t="s">
        <v>2890</v>
      </c>
      <c r="D469" t="s">
        <v>2891</v>
      </c>
    </row>
    <row r="470" spans="1:4" x14ac:dyDescent="0.25">
      <c r="A470">
        <v>469</v>
      </c>
      <c r="B470">
        <v>469</v>
      </c>
      <c r="C470" t="s">
        <v>2892</v>
      </c>
    </row>
    <row r="471" spans="1:4" x14ac:dyDescent="0.25">
      <c r="A471">
        <v>470</v>
      </c>
      <c r="B471">
        <v>470</v>
      </c>
      <c r="C471" t="s">
        <v>2893</v>
      </c>
    </row>
    <row r="472" spans="1:4" x14ac:dyDescent="0.25">
      <c r="A472">
        <v>471</v>
      </c>
      <c r="B472">
        <v>471</v>
      </c>
    </row>
    <row r="473" spans="1:4" x14ac:dyDescent="0.25">
      <c r="A473">
        <v>472</v>
      </c>
      <c r="B473">
        <v>472</v>
      </c>
    </row>
    <row r="474" spans="1:4" x14ac:dyDescent="0.25">
      <c r="A474">
        <v>473</v>
      </c>
      <c r="B474">
        <v>473</v>
      </c>
    </row>
    <row r="475" spans="1:4" x14ac:dyDescent="0.25">
      <c r="A475">
        <v>474</v>
      </c>
      <c r="B475">
        <v>474</v>
      </c>
      <c r="C475" t="s">
        <v>2894</v>
      </c>
    </row>
    <row r="476" spans="1:4" x14ac:dyDescent="0.25">
      <c r="A476">
        <v>475</v>
      </c>
      <c r="B476">
        <v>475</v>
      </c>
    </row>
    <row r="477" spans="1:4" x14ac:dyDescent="0.25">
      <c r="A477">
        <v>476</v>
      </c>
      <c r="B477">
        <v>476</v>
      </c>
      <c r="C477" t="s">
        <v>2895</v>
      </c>
    </row>
    <row r="478" spans="1:4" x14ac:dyDescent="0.25">
      <c r="A478">
        <v>477</v>
      </c>
      <c r="B478">
        <v>477</v>
      </c>
      <c r="C478" t="s">
        <v>2896</v>
      </c>
    </row>
    <row r="479" spans="1:4" x14ac:dyDescent="0.25">
      <c r="A479">
        <v>478</v>
      </c>
      <c r="B479">
        <v>478</v>
      </c>
      <c r="C479" t="s">
        <v>2897</v>
      </c>
    </row>
    <row r="480" spans="1:4" x14ac:dyDescent="0.25">
      <c r="A480">
        <v>479</v>
      </c>
      <c r="B480">
        <v>479</v>
      </c>
      <c r="C480" t="s">
        <v>2898</v>
      </c>
    </row>
    <row r="481" spans="1:3" x14ac:dyDescent="0.25">
      <c r="A481">
        <v>480</v>
      </c>
      <c r="B481">
        <v>480</v>
      </c>
    </row>
    <row r="482" spans="1:3" x14ac:dyDescent="0.25">
      <c r="A482">
        <v>481</v>
      </c>
      <c r="B482">
        <v>481</v>
      </c>
      <c r="C482" t="s">
        <v>2899</v>
      </c>
    </row>
    <row r="483" spans="1:3" x14ac:dyDescent="0.25">
      <c r="A483">
        <v>482</v>
      </c>
      <c r="B483">
        <v>482</v>
      </c>
      <c r="C483" t="s">
        <v>2900</v>
      </c>
    </row>
    <row r="484" spans="1:3" x14ac:dyDescent="0.25">
      <c r="A484">
        <v>483</v>
      </c>
      <c r="B484">
        <v>483</v>
      </c>
      <c r="C484" t="s">
        <v>2901</v>
      </c>
    </row>
    <row r="485" spans="1:3" x14ac:dyDescent="0.25">
      <c r="A485">
        <v>484</v>
      </c>
      <c r="B485">
        <v>484</v>
      </c>
      <c r="C485" t="s">
        <v>2902</v>
      </c>
    </row>
    <row r="486" spans="1:3" x14ac:dyDescent="0.25">
      <c r="A486">
        <v>485</v>
      </c>
      <c r="B486">
        <v>485</v>
      </c>
      <c r="C486" t="s">
        <v>2903</v>
      </c>
    </row>
    <row r="487" spans="1:3" x14ac:dyDescent="0.25">
      <c r="A487">
        <v>486</v>
      </c>
      <c r="B487">
        <v>486</v>
      </c>
      <c r="C487" t="s">
        <v>2904</v>
      </c>
    </row>
    <row r="488" spans="1:3" x14ac:dyDescent="0.25">
      <c r="A488">
        <v>487</v>
      </c>
      <c r="B488">
        <v>487</v>
      </c>
      <c r="C488" t="s">
        <v>2905</v>
      </c>
    </row>
    <row r="489" spans="1:3" x14ac:dyDescent="0.25">
      <c r="A489">
        <v>488</v>
      </c>
      <c r="B489">
        <v>488</v>
      </c>
      <c r="C489" t="s">
        <v>2906</v>
      </c>
    </row>
    <row r="490" spans="1:3" x14ac:dyDescent="0.25">
      <c r="A490">
        <v>489</v>
      </c>
      <c r="B490">
        <v>489</v>
      </c>
      <c r="C490" t="s">
        <v>2907</v>
      </c>
    </row>
    <row r="491" spans="1:3" x14ac:dyDescent="0.25">
      <c r="A491">
        <v>490</v>
      </c>
      <c r="B491">
        <v>490</v>
      </c>
      <c r="C491" t="s">
        <v>2908</v>
      </c>
    </row>
    <row r="492" spans="1:3" x14ac:dyDescent="0.25">
      <c r="A492">
        <v>491</v>
      </c>
      <c r="B492">
        <v>491</v>
      </c>
      <c r="C492" t="s">
        <v>2585</v>
      </c>
    </row>
    <row r="493" spans="1:3" x14ac:dyDescent="0.25">
      <c r="A493">
        <v>492</v>
      </c>
      <c r="B493">
        <v>492</v>
      </c>
      <c r="C493" t="s">
        <v>2909</v>
      </c>
    </row>
    <row r="494" spans="1:3" x14ac:dyDescent="0.25">
      <c r="A494">
        <v>493</v>
      </c>
      <c r="B494">
        <v>493</v>
      </c>
      <c r="C494" t="s">
        <v>2910</v>
      </c>
    </row>
    <row r="495" spans="1:3" x14ac:dyDescent="0.25">
      <c r="A495">
        <v>494</v>
      </c>
      <c r="B495">
        <v>494</v>
      </c>
      <c r="C495" t="s">
        <v>2911</v>
      </c>
    </row>
    <row r="496" spans="1:3" x14ac:dyDescent="0.25">
      <c r="A496">
        <v>495</v>
      </c>
      <c r="B496">
        <v>495</v>
      </c>
      <c r="C496" t="s">
        <v>2912</v>
      </c>
    </row>
    <row r="497" spans="1:4" x14ac:dyDescent="0.25">
      <c r="A497">
        <v>496</v>
      </c>
      <c r="B497">
        <v>496</v>
      </c>
      <c r="C497" t="s">
        <v>2913</v>
      </c>
    </row>
    <row r="498" spans="1:4" x14ac:dyDescent="0.25">
      <c r="A498">
        <v>497</v>
      </c>
      <c r="B498">
        <v>497</v>
      </c>
      <c r="C498" t="s">
        <v>2914</v>
      </c>
    </row>
    <row r="499" spans="1:4" x14ac:dyDescent="0.25">
      <c r="A499">
        <v>498</v>
      </c>
      <c r="B499">
        <v>498</v>
      </c>
      <c r="C499" t="s">
        <v>2915</v>
      </c>
      <c r="D499" t="s">
        <v>2916</v>
      </c>
    </row>
    <row r="500" spans="1:4" x14ac:dyDescent="0.25">
      <c r="A500">
        <v>499</v>
      </c>
      <c r="B500">
        <v>499</v>
      </c>
      <c r="C500" t="s">
        <v>2917</v>
      </c>
    </row>
    <row r="501" spans="1:4" x14ac:dyDescent="0.25">
      <c r="A501">
        <v>500</v>
      </c>
      <c r="B501">
        <v>500</v>
      </c>
      <c r="C501" t="s">
        <v>2918</v>
      </c>
    </row>
    <row r="502" spans="1:4" x14ac:dyDescent="0.25">
      <c r="A502">
        <v>501</v>
      </c>
      <c r="B502">
        <v>501</v>
      </c>
    </row>
    <row r="503" spans="1:4" x14ac:dyDescent="0.25">
      <c r="A503">
        <v>502</v>
      </c>
      <c r="B503">
        <v>502</v>
      </c>
      <c r="C503" t="s">
        <v>2919</v>
      </c>
    </row>
    <row r="504" spans="1:4" x14ac:dyDescent="0.25">
      <c r="A504">
        <v>503</v>
      </c>
      <c r="B504">
        <v>503</v>
      </c>
      <c r="C504" t="s">
        <v>2920</v>
      </c>
    </row>
    <row r="505" spans="1:4" x14ac:dyDescent="0.25">
      <c r="A505">
        <v>504</v>
      </c>
      <c r="B505">
        <v>504</v>
      </c>
      <c r="C505" t="s">
        <v>2921</v>
      </c>
    </row>
    <row r="506" spans="1:4" x14ac:dyDescent="0.25">
      <c r="A506">
        <v>505</v>
      </c>
      <c r="B506">
        <v>505</v>
      </c>
      <c r="C506" t="s">
        <v>2922</v>
      </c>
    </row>
    <row r="507" spans="1:4" x14ac:dyDescent="0.25">
      <c r="A507">
        <v>506</v>
      </c>
      <c r="B507">
        <v>506</v>
      </c>
      <c r="C507" t="s">
        <v>2577</v>
      </c>
    </row>
    <row r="508" spans="1:4" x14ac:dyDescent="0.25">
      <c r="A508">
        <v>507</v>
      </c>
      <c r="B508">
        <v>507</v>
      </c>
      <c r="C508" t="s">
        <v>2923</v>
      </c>
    </row>
    <row r="509" spans="1:4" x14ac:dyDescent="0.25">
      <c r="A509">
        <v>508</v>
      </c>
      <c r="B509">
        <v>508</v>
      </c>
      <c r="C509" t="s">
        <v>2581</v>
      </c>
    </row>
    <row r="510" spans="1:4" x14ac:dyDescent="0.25">
      <c r="A510">
        <v>509</v>
      </c>
      <c r="B510">
        <v>509</v>
      </c>
      <c r="C510" t="s">
        <v>2649</v>
      </c>
    </row>
    <row r="511" spans="1:4" x14ac:dyDescent="0.25">
      <c r="A511">
        <v>510</v>
      </c>
      <c r="B511">
        <v>510</v>
      </c>
      <c r="C511" t="s">
        <v>2924</v>
      </c>
    </row>
    <row r="512" spans="1:4" x14ac:dyDescent="0.25">
      <c r="A512">
        <v>511</v>
      </c>
      <c r="B512">
        <v>511</v>
      </c>
      <c r="C512" t="s">
        <v>2925</v>
      </c>
    </row>
    <row r="513" spans="1:3" x14ac:dyDescent="0.25">
      <c r="A513">
        <v>512</v>
      </c>
      <c r="B513">
        <v>512</v>
      </c>
    </row>
    <row r="514" spans="1:3" x14ac:dyDescent="0.25">
      <c r="A514">
        <v>513</v>
      </c>
      <c r="B514">
        <v>513</v>
      </c>
    </row>
    <row r="515" spans="1:3" x14ac:dyDescent="0.25">
      <c r="A515">
        <v>514</v>
      </c>
      <c r="B515">
        <v>514</v>
      </c>
      <c r="C515" t="s">
        <v>2926</v>
      </c>
    </row>
    <row r="516" spans="1:3" x14ac:dyDescent="0.25">
      <c r="A516">
        <v>515</v>
      </c>
      <c r="B516">
        <v>515</v>
      </c>
    </row>
    <row r="517" spans="1:3" x14ac:dyDescent="0.25">
      <c r="A517">
        <v>516</v>
      </c>
      <c r="B517">
        <v>516</v>
      </c>
    </row>
    <row r="518" spans="1:3" x14ac:dyDescent="0.25">
      <c r="A518">
        <v>517</v>
      </c>
      <c r="B518">
        <v>517</v>
      </c>
      <c r="C518" t="s">
        <v>2927</v>
      </c>
    </row>
    <row r="519" spans="1:3" x14ac:dyDescent="0.25">
      <c r="A519">
        <v>518</v>
      </c>
      <c r="B519">
        <v>518</v>
      </c>
      <c r="C519" t="s">
        <v>2928</v>
      </c>
    </row>
    <row r="520" spans="1:3" x14ac:dyDescent="0.25">
      <c r="A520">
        <v>519</v>
      </c>
      <c r="B520">
        <v>519</v>
      </c>
      <c r="C520" t="s">
        <v>2929</v>
      </c>
    </row>
    <row r="521" spans="1:3" x14ac:dyDescent="0.25">
      <c r="A521">
        <v>520</v>
      </c>
      <c r="B521">
        <v>520</v>
      </c>
      <c r="C521" t="s">
        <v>2930</v>
      </c>
    </row>
    <row r="522" spans="1:3" x14ac:dyDescent="0.25">
      <c r="A522">
        <v>521</v>
      </c>
      <c r="B522">
        <v>521</v>
      </c>
      <c r="C522" t="s">
        <v>2931</v>
      </c>
    </row>
    <row r="523" spans="1:3" x14ac:dyDescent="0.25">
      <c r="A523">
        <v>522</v>
      </c>
      <c r="B523">
        <v>522</v>
      </c>
      <c r="C523" t="s">
        <v>2932</v>
      </c>
    </row>
    <row r="524" spans="1:3" x14ac:dyDescent="0.25">
      <c r="A524">
        <v>523</v>
      </c>
      <c r="B524">
        <v>523</v>
      </c>
    </row>
    <row r="525" spans="1:3" x14ac:dyDescent="0.25">
      <c r="A525">
        <v>524</v>
      </c>
      <c r="B525">
        <v>524</v>
      </c>
      <c r="C525" t="s">
        <v>2933</v>
      </c>
    </row>
    <row r="526" spans="1:3" x14ac:dyDescent="0.25">
      <c r="A526">
        <v>525</v>
      </c>
      <c r="B526">
        <v>525</v>
      </c>
      <c r="C526" t="s">
        <v>2934</v>
      </c>
    </row>
    <row r="527" spans="1:3" x14ac:dyDescent="0.25">
      <c r="A527">
        <v>526</v>
      </c>
      <c r="B527">
        <v>526</v>
      </c>
      <c r="C527" t="s">
        <v>2935</v>
      </c>
    </row>
    <row r="528" spans="1:3" x14ac:dyDescent="0.25">
      <c r="A528">
        <v>527</v>
      </c>
      <c r="B528">
        <v>527</v>
      </c>
      <c r="C528" t="s">
        <v>2645</v>
      </c>
    </row>
    <row r="529" spans="1:4" x14ac:dyDescent="0.25">
      <c r="A529">
        <v>528</v>
      </c>
      <c r="B529">
        <v>528</v>
      </c>
      <c r="C529" t="s">
        <v>2936</v>
      </c>
    </row>
    <row r="530" spans="1:4" x14ac:dyDescent="0.25">
      <c r="A530">
        <v>529</v>
      </c>
      <c r="B530">
        <v>529</v>
      </c>
      <c r="C530" t="s">
        <v>2937</v>
      </c>
    </row>
    <row r="531" spans="1:4" x14ac:dyDescent="0.25">
      <c r="A531">
        <v>530</v>
      </c>
      <c r="B531">
        <v>530</v>
      </c>
      <c r="C531" t="s">
        <v>2938</v>
      </c>
    </row>
    <row r="532" spans="1:4" x14ac:dyDescent="0.25">
      <c r="A532">
        <v>531</v>
      </c>
      <c r="B532">
        <v>531</v>
      </c>
      <c r="C532" t="s">
        <v>2939</v>
      </c>
    </row>
    <row r="533" spans="1:4" x14ac:dyDescent="0.25">
      <c r="A533">
        <v>532</v>
      </c>
      <c r="B533">
        <v>532</v>
      </c>
      <c r="C533" t="s">
        <v>2940</v>
      </c>
    </row>
    <row r="534" spans="1:4" x14ac:dyDescent="0.25">
      <c r="A534">
        <v>533</v>
      </c>
      <c r="B534">
        <v>533</v>
      </c>
    </row>
    <row r="535" spans="1:4" x14ac:dyDescent="0.25">
      <c r="A535">
        <v>534</v>
      </c>
      <c r="B535">
        <v>534</v>
      </c>
    </row>
    <row r="536" spans="1:4" x14ac:dyDescent="0.25">
      <c r="A536">
        <v>535</v>
      </c>
      <c r="B536">
        <v>535</v>
      </c>
      <c r="C536" t="s">
        <v>2941</v>
      </c>
    </row>
    <row r="537" spans="1:4" x14ac:dyDescent="0.25">
      <c r="A537">
        <v>536</v>
      </c>
      <c r="B537">
        <v>536</v>
      </c>
      <c r="C537" t="s">
        <v>2942</v>
      </c>
      <c r="D537" t="s">
        <v>2943</v>
      </c>
    </row>
    <row r="538" spans="1:4" x14ac:dyDescent="0.25">
      <c r="A538">
        <v>537</v>
      </c>
      <c r="B538">
        <v>537</v>
      </c>
    </row>
    <row r="539" spans="1:4" x14ac:dyDescent="0.25">
      <c r="A539">
        <v>538</v>
      </c>
      <c r="B539">
        <v>538</v>
      </c>
      <c r="C539" t="s">
        <v>2944</v>
      </c>
    </row>
    <row r="540" spans="1:4" x14ac:dyDescent="0.25">
      <c r="A540">
        <v>539</v>
      </c>
      <c r="B540">
        <v>539</v>
      </c>
    </row>
    <row r="541" spans="1:4" x14ac:dyDescent="0.25">
      <c r="A541">
        <v>540</v>
      </c>
      <c r="B541">
        <v>540</v>
      </c>
      <c r="C541" t="s">
        <v>2945</v>
      </c>
      <c r="D541" t="s">
        <v>2946</v>
      </c>
    </row>
    <row r="542" spans="1:4" x14ac:dyDescent="0.25">
      <c r="A542">
        <v>541</v>
      </c>
      <c r="B542">
        <v>541</v>
      </c>
    </row>
    <row r="543" spans="1:4" x14ac:dyDescent="0.25">
      <c r="A543">
        <v>542</v>
      </c>
      <c r="B543">
        <v>542</v>
      </c>
      <c r="C543" t="s">
        <v>2947</v>
      </c>
    </row>
    <row r="544" spans="1:4" x14ac:dyDescent="0.25">
      <c r="A544">
        <v>543</v>
      </c>
      <c r="B544">
        <v>543</v>
      </c>
      <c r="C544" t="s">
        <v>2948</v>
      </c>
    </row>
    <row r="545" spans="1:3" x14ac:dyDescent="0.25">
      <c r="A545">
        <v>544</v>
      </c>
      <c r="B545">
        <v>544</v>
      </c>
      <c r="C545" t="s">
        <v>2949</v>
      </c>
    </row>
    <row r="546" spans="1:3" x14ac:dyDescent="0.25">
      <c r="A546">
        <v>545</v>
      </c>
      <c r="B546">
        <v>545</v>
      </c>
      <c r="C546" t="s">
        <v>2950</v>
      </c>
    </row>
    <row r="547" spans="1:3" x14ac:dyDescent="0.25">
      <c r="A547">
        <v>546</v>
      </c>
      <c r="B547">
        <v>546</v>
      </c>
      <c r="C547" t="s">
        <v>2951</v>
      </c>
    </row>
    <row r="548" spans="1:3" x14ac:dyDescent="0.25">
      <c r="A548">
        <v>547</v>
      </c>
      <c r="B548">
        <v>547</v>
      </c>
      <c r="C548" t="s">
        <v>2952</v>
      </c>
    </row>
    <row r="549" spans="1:3" x14ac:dyDescent="0.25">
      <c r="A549">
        <v>548</v>
      </c>
      <c r="B549">
        <v>548</v>
      </c>
      <c r="C549" t="s">
        <v>2953</v>
      </c>
    </row>
    <row r="550" spans="1:3" x14ac:dyDescent="0.25">
      <c r="A550">
        <v>549</v>
      </c>
      <c r="B550">
        <v>549</v>
      </c>
    </row>
    <row r="551" spans="1:3" x14ac:dyDescent="0.25">
      <c r="A551">
        <v>550</v>
      </c>
      <c r="B551">
        <v>550</v>
      </c>
      <c r="C551" t="s">
        <v>2954</v>
      </c>
    </row>
    <row r="552" spans="1:3" x14ac:dyDescent="0.25">
      <c r="A552">
        <v>551</v>
      </c>
      <c r="B552">
        <v>551</v>
      </c>
      <c r="C552" t="s">
        <v>2955</v>
      </c>
    </row>
    <row r="553" spans="1:3" x14ac:dyDescent="0.25">
      <c r="A553">
        <v>552</v>
      </c>
      <c r="B553">
        <v>552</v>
      </c>
      <c r="C553" t="s">
        <v>2956</v>
      </c>
    </row>
    <row r="554" spans="1:3" x14ac:dyDescent="0.25">
      <c r="A554">
        <v>553</v>
      </c>
      <c r="B554">
        <v>553</v>
      </c>
      <c r="C554" t="s">
        <v>2957</v>
      </c>
    </row>
    <row r="555" spans="1:3" x14ac:dyDescent="0.25">
      <c r="A555">
        <v>554</v>
      </c>
      <c r="B555">
        <v>554</v>
      </c>
      <c r="C555" t="s">
        <v>2958</v>
      </c>
    </row>
    <row r="556" spans="1:3" x14ac:dyDescent="0.25">
      <c r="A556">
        <v>555</v>
      </c>
      <c r="B556">
        <v>555</v>
      </c>
      <c r="C556" t="s">
        <v>2959</v>
      </c>
    </row>
    <row r="557" spans="1:3" x14ac:dyDescent="0.25">
      <c r="A557">
        <v>556</v>
      </c>
      <c r="B557">
        <v>556</v>
      </c>
      <c r="C557" t="s">
        <v>2960</v>
      </c>
    </row>
    <row r="558" spans="1:3" x14ac:dyDescent="0.25">
      <c r="A558">
        <v>557</v>
      </c>
      <c r="B558">
        <v>557</v>
      </c>
      <c r="C558" t="s">
        <v>2961</v>
      </c>
    </row>
    <row r="559" spans="1:3" x14ac:dyDescent="0.25">
      <c r="A559">
        <v>558</v>
      </c>
      <c r="B559">
        <v>558</v>
      </c>
      <c r="C559" t="s">
        <v>2962</v>
      </c>
    </row>
    <row r="560" spans="1:3" x14ac:dyDescent="0.25">
      <c r="A560">
        <v>559</v>
      </c>
      <c r="B560">
        <v>559</v>
      </c>
      <c r="C560" t="s">
        <v>2963</v>
      </c>
    </row>
    <row r="561" spans="1:4" x14ac:dyDescent="0.25">
      <c r="A561">
        <v>560</v>
      </c>
      <c r="B561">
        <v>560</v>
      </c>
      <c r="C561" t="s">
        <v>2964</v>
      </c>
    </row>
    <row r="562" spans="1:4" x14ac:dyDescent="0.25">
      <c r="A562">
        <v>561</v>
      </c>
      <c r="B562">
        <v>561</v>
      </c>
      <c r="C562" t="s">
        <v>2965</v>
      </c>
    </row>
    <row r="563" spans="1:4" x14ac:dyDescent="0.25">
      <c r="A563">
        <v>562</v>
      </c>
      <c r="B563">
        <v>562</v>
      </c>
      <c r="C563" t="s">
        <v>2966</v>
      </c>
    </row>
    <row r="564" spans="1:4" x14ac:dyDescent="0.25">
      <c r="A564">
        <v>563</v>
      </c>
      <c r="B564">
        <v>563</v>
      </c>
      <c r="C564" t="s">
        <v>2967</v>
      </c>
    </row>
    <row r="565" spans="1:4" x14ac:dyDescent="0.25">
      <c r="A565">
        <v>564</v>
      </c>
      <c r="B565">
        <v>564</v>
      </c>
      <c r="C565" t="s">
        <v>2968</v>
      </c>
    </row>
    <row r="566" spans="1:4" x14ac:dyDescent="0.25">
      <c r="A566">
        <v>565</v>
      </c>
      <c r="B566">
        <v>565</v>
      </c>
      <c r="C566" t="s">
        <v>2969</v>
      </c>
    </row>
    <row r="567" spans="1:4" x14ac:dyDescent="0.25">
      <c r="A567">
        <v>566</v>
      </c>
      <c r="B567">
        <v>566</v>
      </c>
      <c r="C567" t="s">
        <v>2970</v>
      </c>
    </row>
    <row r="568" spans="1:4" x14ac:dyDescent="0.25">
      <c r="A568">
        <v>567</v>
      </c>
      <c r="B568">
        <v>567</v>
      </c>
      <c r="C568" t="s">
        <v>2971</v>
      </c>
    </row>
    <row r="569" spans="1:4" x14ac:dyDescent="0.25">
      <c r="A569">
        <v>568</v>
      </c>
      <c r="B569">
        <v>568</v>
      </c>
      <c r="C569" t="s">
        <v>2972</v>
      </c>
    </row>
    <row r="570" spans="1:4" x14ac:dyDescent="0.25">
      <c r="A570">
        <v>569</v>
      </c>
      <c r="B570">
        <v>569</v>
      </c>
    </row>
    <row r="571" spans="1:4" x14ac:dyDescent="0.25">
      <c r="A571">
        <v>570</v>
      </c>
      <c r="B571">
        <v>570</v>
      </c>
      <c r="C571" t="s">
        <v>2973</v>
      </c>
      <c r="D571" t="s">
        <v>2974</v>
      </c>
    </row>
    <row r="572" spans="1:4" x14ac:dyDescent="0.25">
      <c r="A572">
        <v>571</v>
      </c>
      <c r="B572">
        <v>571</v>
      </c>
      <c r="C572" t="s">
        <v>2975</v>
      </c>
    </row>
    <row r="573" spans="1:4" x14ac:dyDescent="0.25">
      <c r="A573">
        <v>572</v>
      </c>
      <c r="B573">
        <v>572</v>
      </c>
      <c r="C573" t="s">
        <v>2976</v>
      </c>
    </row>
    <row r="574" spans="1:4" x14ac:dyDescent="0.25">
      <c r="A574">
        <v>573</v>
      </c>
      <c r="B574">
        <v>573</v>
      </c>
      <c r="C574" t="s">
        <v>2977</v>
      </c>
    </row>
    <row r="575" spans="1:4" x14ac:dyDescent="0.25">
      <c r="A575">
        <v>574</v>
      </c>
      <c r="B575">
        <v>574</v>
      </c>
      <c r="C575" t="s">
        <v>2978</v>
      </c>
    </row>
    <row r="576" spans="1:4" x14ac:dyDescent="0.25">
      <c r="A576">
        <v>575</v>
      </c>
      <c r="B576">
        <v>575</v>
      </c>
      <c r="C576" t="s">
        <v>2979</v>
      </c>
    </row>
    <row r="577" spans="1:3" x14ac:dyDescent="0.25">
      <c r="A577">
        <v>576</v>
      </c>
      <c r="B577">
        <v>576</v>
      </c>
      <c r="C577" t="s">
        <v>2980</v>
      </c>
    </row>
    <row r="578" spans="1:3" x14ac:dyDescent="0.25">
      <c r="A578">
        <v>577</v>
      </c>
      <c r="B578">
        <v>577</v>
      </c>
      <c r="C578" t="s">
        <v>2981</v>
      </c>
    </row>
    <row r="579" spans="1:3" x14ac:dyDescent="0.25">
      <c r="A579">
        <v>578</v>
      </c>
      <c r="B579">
        <v>578</v>
      </c>
      <c r="C579" t="s">
        <v>2982</v>
      </c>
    </row>
    <row r="580" spans="1:3" x14ac:dyDescent="0.25">
      <c r="A580">
        <v>579</v>
      </c>
      <c r="B580">
        <v>579</v>
      </c>
    </row>
    <row r="581" spans="1:3" x14ac:dyDescent="0.25">
      <c r="A581">
        <v>580</v>
      </c>
      <c r="B581">
        <v>580</v>
      </c>
      <c r="C581" t="s">
        <v>2983</v>
      </c>
    </row>
    <row r="582" spans="1:3" x14ac:dyDescent="0.25">
      <c r="A582">
        <v>581</v>
      </c>
      <c r="B582">
        <v>581</v>
      </c>
      <c r="C582" t="s">
        <v>2984</v>
      </c>
    </row>
    <row r="583" spans="1:3" x14ac:dyDescent="0.25">
      <c r="A583">
        <v>582</v>
      </c>
      <c r="B583">
        <v>582</v>
      </c>
      <c r="C583" t="s">
        <v>2985</v>
      </c>
    </row>
    <row r="584" spans="1:3" x14ac:dyDescent="0.25">
      <c r="A584">
        <v>583</v>
      </c>
      <c r="B584">
        <v>583</v>
      </c>
      <c r="C584" t="s">
        <v>2986</v>
      </c>
    </row>
    <row r="585" spans="1:3" x14ac:dyDescent="0.25">
      <c r="A585">
        <v>584</v>
      </c>
      <c r="B585">
        <v>584</v>
      </c>
      <c r="C585" t="s">
        <v>2987</v>
      </c>
    </row>
    <row r="586" spans="1:3" x14ac:dyDescent="0.25">
      <c r="A586">
        <v>585</v>
      </c>
      <c r="B586">
        <v>585</v>
      </c>
      <c r="C586" t="s">
        <v>2988</v>
      </c>
    </row>
    <row r="587" spans="1:3" x14ac:dyDescent="0.25">
      <c r="A587">
        <v>586</v>
      </c>
      <c r="B587">
        <v>586</v>
      </c>
      <c r="C587" t="s">
        <v>2989</v>
      </c>
    </row>
    <row r="588" spans="1:3" x14ac:dyDescent="0.25">
      <c r="A588">
        <v>587</v>
      </c>
      <c r="B588">
        <v>587</v>
      </c>
      <c r="C588" t="s">
        <v>2990</v>
      </c>
    </row>
    <row r="589" spans="1:3" x14ac:dyDescent="0.25">
      <c r="A589">
        <v>588</v>
      </c>
      <c r="B589">
        <v>588</v>
      </c>
      <c r="C589" t="s">
        <v>2991</v>
      </c>
    </row>
    <row r="590" spans="1:3" x14ac:dyDescent="0.25">
      <c r="A590">
        <v>589</v>
      </c>
      <c r="B590">
        <v>589</v>
      </c>
      <c r="C590" t="s">
        <v>2992</v>
      </c>
    </row>
    <row r="591" spans="1:3" x14ac:dyDescent="0.25">
      <c r="A591">
        <v>590</v>
      </c>
      <c r="B591">
        <v>590</v>
      </c>
      <c r="C591" t="s">
        <v>2993</v>
      </c>
    </row>
    <row r="592" spans="1:3" x14ac:dyDescent="0.25">
      <c r="A592">
        <v>591</v>
      </c>
      <c r="B592">
        <v>591</v>
      </c>
      <c r="C592" t="s">
        <v>2994</v>
      </c>
    </row>
    <row r="593" spans="1:3" x14ac:dyDescent="0.25">
      <c r="A593">
        <v>592</v>
      </c>
      <c r="B593">
        <v>592</v>
      </c>
      <c r="C593" t="s">
        <v>2995</v>
      </c>
    </row>
    <row r="594" spans="1:3" x14ac:dyDescent="0.25">
      <c r="A594">
        <v>593</v>
      </c>
      <c r="B594">
        <v>593</v>
      </c>
      <c r="C594" t="s">
        <v>2996</v>
      </c>
    </row>
    <row r="595" spans="1:3" x14ac:dyDescent="0.25">
      <c r="A595">
        <v>594</v>
      </c>
      <c r="B595">
        <v>594</v>
      </c>
      <c r="C595" t="s">
        <v>2997</v>
      </c>
    </row>
    <row r="596" spans="1:3" x14ac:dyDescent="0.25">
      <c r="A596">
        <v>595</v>
      </c>
      <c r="B596">
        <v>595</v>
      </c>
    </row>
    <row r="597" spans="1:3" x14ac:dyDescent="0.25">
      <c r="A597">
        <v>596</v>
      </c>
      <c r="B597">
        <v>596</v>
      </c>
      <c r="C597" t="s">
        <v>2998</v>
      </c>
    </row>
    <row r="598" spans="1:3" x14ac:dyDescent="0.25">
      <c r="A598">
        <v>597</v>
      </c>
      <c r="B598">
        <v>597</v>
      </c>
      <c r="C598" t="s">
        <v>2999</v>
      </c>
    </row>
    <row r="599" spans="1:3" x14ac:dyDescent="0.25">
      <c r="A599">
        <v>598</v>
      </c>
      <c r="B599">
        <v>598</v>
      </c>
      <c r="C599" t="s">
        <v>3000</v>
      </c>
    </row>
    <row r="600" spans="1:3" x14ac:dyDescent="0.25">
      <c r="A600">
        <v>599</v>
      </c>
      <c r="B600">
        <v>599</v>
      </c>
      <c r="C600" t="s">
        <v>739</v>
      </c>
    </row>
    <row r="601" spans="1:3" x14ac:dyDescent="0.25">
      <c r="A601">
        <v>600</v>
      </c>
      <c r="B601">
        <v>600</v>
      </c>
      <c r="C601" t="s">
        <v>3001</v>
      </c>
    </row>
    <row r="602" spans="1:3" x14ac:dyDescent="0.25">
      <c r="A602">
        <v>601</v>
      </c>
      <c r="B602">
        <v>601</v>
      </c>
      <c r="C602" t="s">
        <v>741</v>
      </c>
    </row>
    <row r="603" spans="1:3" x14ac:dyDescent="0.25">
      <c r="A603">
        <v>602</v>
      </c>
      <c r="B603">
        <v>602</v>
      </c>
      <c r="C603" t="s">
        <v>742</v>
      </c>
    </row>
    <row r="604" spans="1:3" x14ac:dyDescent="0.25">
      <c r="A604">
        <v>603</v>
      </c>
      <c r="B604">
        <v>603</v>
      </c>
      <c r="C604" t="s">
        <v>3002</v>
      </c>
    </row>
    <row r="605" spans="1:3" x14ac:dyDescent="0.25">
      <c r="A605">
        <v>604</v>
      </c>
      <c r="B605">
        <v>604</v>
      </c>
      <c r="C605" t="s">
        <v>744</v>
      </c>
    </row>
    <row r="606" spans="1:3" x14ac:dyDescent="0.25">
      <c r="A606">
        <v>605</v>
      </c>
      <c r="B606">
        <v>605</v>
      </c>
      <c r="C606" t="s">
        <v>745</v>
      </c>
    </row>
    <row r="607" spans="1:3" x14ac:dyDescent="0.25">
      <c r="A607">
        <v>606</v>
      </c>
      <c r="B607">
        <v>606</v>
      </c>
      <c r="C607" t="s">
        <v>3003</v>
      </c>
    </row>
    <row r="608" spans="1:3" x14ac:dyDescent="0.25">
      <c r="A608">
        <v>607</v>
      </c>
      <c r="B608">
        <v>607</v>
      </c>
    </row>
    <row r="609" spans="1:3" x14ac:dyDescent="0.25">
      <c r="A609">
        <v>608</v>
      </c>
      <c r="B609">
        <v>608</v>
      </c>
      <c r="C609" t="s">
        <v>2649</v>
      </c>
    </row>
    <row r="610" spans="1:3" x14ac:dyDescent="0.25">
      <c r="A610">
        <v>609</v>
      </c>
      <c r="B610">
        <v>609</v>
      </c>
      <c r="C610" t="s">
        <v>3004</v>
      </c>
    </row>
    <row r="611" spans="1:3" x14ac:dyDescent="0.25">
      <c r="A611">
        <v>610</v>
      </c>
      <c r="B611">
        <v>610</v>
      </c>
      <c r="C611" t="s">
        <v>3005</v>
      </c>
    </row>
    <row r="612" spans="1:3" x14ac:dyDescent="0.25">
      <c r="A612">
        <v>611</v>
      </c>
      <c r="B612">
        <v>611</v>
      </c>
      <c r="C612" t="s">
        <v>3006</v>
      </c>
    </row>
    <row r="613" spans="1:3" x14ac:dyDescent="0.25">
      <c r="A613">
        <v>612</v>
      </c>
      <c r="B613">
        <v>612</v>
      </c>
      <c r="C613" t="s">
        <v>3007</v>
      </c>
    </row>
    <row r="614" spans="1:3" x14ac:dyDescent="0.25">
      <c r="A614">
        <v>613</v>
      </c>
      <c r="B614">
        <v>613</v>
      </c>
      <c r="C614" t="s">
        <v>3008</v>
      </c>
    </row>
    <row r="615" spans="1:3" x14ac:dyDescent="0.25">
      <c r="A615">
        <v>614</v>
      </c>
      <c r="B615">
        <v>614</v>
      </c>
      <c r="C615" t="s">
        <v>3009</v>
      </c>
    </row>
    <row r="616" spans="1:3" x14ac:dyDescent="0.25">
      <c r="A616">
        <v>615</v>
      </c>
      <c r="B616">
        <v>615</v>
      </c>
      <c r="C616" t="s">
        <v>3010</v>
      </c>
    </row>
    <row r="617" spans="1:3" x14ac:dyDescent="0.25">
      <c r="A617">
        <v>616</v>
      </c>
      <c r="B617">
        <v>616</v>
      </c>
    </row>
    <row r="618" spans="1:3" x14ac:dyDescent="0.25">
      <c r="A618">
        <v>617</v>
      </c>
      <c r="B618">
        <v>617</v>
      </c>
    </row>
    <row r="619" spans="1:3" x14ac:dyDescent="0.25">
      <c r="A619">
        <v>618</v>
      </c>
      <c r="B619">
        <v>618</v>
      </c>
      <c r="C619" t="s">
        <v>3011</v>
      </c>
    </row>
    <row r="620" spans="1:3" x14ac:dyDescent="0.25">
      <c r="A620">
        <v>619</v>
      </c>
      <c r="B620">
        <v>619</v>
      </c>
      <c r="C620" t="s">
        <v>3012</v>
      </c>
    </row>
    <row r="621" spans="1:3" x14ac:dyDescent="0.25">
      <c r="A621">
        <v>620</v>
      </c>
      <c r="B621">
        <v>620</v>
      </c>
      <c r="C621" t="s">
        <v>3013</v>
      </c>
    </row>
    <row r="622" spans="1:3" x14ac:dyDescent="0.25">
      <c r="A622">
        <v>621</v>
      </c>
      <c r="B622">
        <v>621</v>
      </c>
      <c r="C622" t="s">
        <v>3014</v>
      </c>
    </row>
    <row r="623" spans="1:3" x14ac:dyDescent="0.25">
      <c r="A623">
        <v>622</v>
      </c>
      <c r="B623">
        <v>622</v>
      </c>
    </row>
    <row r="624" spans="1:3" x14ac:dyDescent="0.25">
      <c r="A624">
        <v>623</v>
      </c>
      <c r="B624">
        <v>623</v>
      </c>
      <c r="C624" t="s">
        <v>3015</v>
      </c>
    </row>
    <row r="625" spans="1:4" x14ac:dyDescent="0.25">
      <c r="A625">
        <v>624</v>
      </c>
      <c r="B625">
        <v>624</v>
      </c>
      <c r="C625" t="s">
        <v>3016</v>
      </c>
    </row>
    <row r="626" spans="1:4" x14ac:dyDescent="0.25">
      <c r="A626">
        <v>625</v>
      </c>
      <c r="B626">
        <v>625</v>
      </c>
      <c r="C626" t="s">
        <v>3017</v>
      </c>
    </row>
    <row r="627" spans="1:4" x14ac:dyDescent="0.25">
      <c r="A627">
        <v>626</v>
      </c>
      <c r="B627">
        <v>626</v>
      </c>
      <c r="C627" t="s">
        <v>3018</v>
      </c>
    </row>
    <row r="628" spans="1:4" x14ac:dyDescent="0.25">
      <c r="A628">
        <v>627</v>
      </c>
      <c r="B628">
        <v>627</v>
      </c>
    </row>
    <row r="629" spans="1:4" x14ac:dyDescent="0.25">
      <c r="A629">
        <v>628</v>
      </c>
      <c r="B629">
        <v>628</v>
      </c>
      <c r="C629" t="s">
        <v>2649</v>
      </c>
    </row>
    <row r="630" spans="1:4" x14ac:dyDescent="0.25">
      <c r="A630">
        <v>629</v>
      </c>
      <c r="B630">
        <v>629</v>
      </c>
      <c r="C630" t="s">
        <v>2888</v>
      </c>
    </row>
    <row r="631" spans="1:4" x14ac:dyDescent="0.25">
      <c r="A631">
        <v>630</v>
      </c>
      <c r="B631">
        <v>630</v>
      </c>
      <c r="C631" t="s">
        <v>2889</v>
      </c>
    </row>
    <row r="632" spans="1:4" x14ac:dyDescent="0.25">
      <c r="A632">
        <v>631</v>
      </c>
      <c r="B632">
        <v>631</v>
      </c>
      <c r="C632" t="s">
        <v>2890</v>
      </c>
      <c r="D632" t="s">
        <v>2891</v>
      </c>
    </row>
    <row r="633" spans="1:4" x14ac:dyDescent="0.25">
      <c r="A633">
        <v>632</v>
      </c>
      <c r="B633">
        <v>632</v>
      </c>
      <c r="C633" t="s">
        <v>2892</v>
      </c>
    </row>
    <row r="634" spans="1:4" x14ac:dyDescent="0.25">
      <c r="A634">
        <v>633</v>
      </c>
      <c r="B634">
        <v>633</v>
      </c>
      <c r="C634" t="s">
        <v>2893</v>
      </c>
    </row>
    <row r="635" spans="1:4" x14ac:dyDescent="0.25">
      <c r="A635">
        <v>634</v>
      </c>
      <c r="B635">
        <v>634</v>
      </c>
    </row>
    <row r="636" spans="1:4" x14ac:dyDescent="0.25">
      <c r="A636">
        <v>635</v>
      </c>
      <c r="B636">
        <v>635</v>
      </c>
      <c r="C636" t="s">
        <v>2649</v>
      </c>
    </row>
    <row r="637" spans="1:4" x14ac:dyDescent="0.25">
      <c r="A637">
        <v>636</v>
      </c>
      <c r="B637">
        <v>636</v>
      </c>
      <c r="C637" t="s">
        <v>2865</v>
      </c>
    </row>
    <row r="638" spans="1:4" x14ac:dyDescent="0.25">
      <c r="A638">
        <v>637</v>
      </c>
      <c r="B638">
        <v>637</v>
      </c>
      <c r="C638" t="s">
        <v>3019</v>
      </c>
    </row>
    <row r="639" spans="1:4" x14ac:dyDescent="0.25">
      <c r="A639">
        <v>638</v>
      </c>
      <c r="B639">
        <v>638</v>
      </c>
      <c r="C639" t="s">
        <v>3020</v>
      </c>
    </row>
    <row r="640" spans="1:4" x14ac:dyDescent="0.25">
      <c r="A640">
        <v>639</v>
      </c>
      <c r="B640">
        <v>639</v>
      </c>
      <c r="C640" t="s">
        <v>3021</v>
      </c>
    </row>
    <row r="641" spans="1:3" x14ac:dyDescent="0.25">
      <c r="A641">
        <v>640</v>
      </c>
      <c r="B641">
        <v>640</v>
      </c>
      <c r="C641" t="s">
        <v>3022</v>
      </c>
    </row>
    <row r="642" spans="1:3" x14ac:dyDescent="0.25">
      <c r="A642">
        <v>641</v>
      </c>
      <c r="B642">
        <v>641</v>
      </c>
      <c r="C642" t="s">
        <v>3023</v>
      </c>
    </row>
    <row r="643" spans="1:3" x14ac:dyDescent="0.25">
      <c r="A643">
        <v>642</v>
      </c>
      <c r="B643">
        <v>642</v>
      </c>
      <c r="C643" t="s">
        <v>3024</v>
      </c>
    </row>
    <row r="644" spans="1:3" x14ac:dyDescent="0.25">
      <c r="A644">
        <v>643</v>
      </c>
      <c r="B644">
        <v>643</v>
      </c>
      <c r="C644" t="s">
        <v>3025</v>
      </c>
    </row>
    <row r="645" spans="1:3" x14ac:dyDescent="0.25">
      <c r="A645">
        <v>644</v>
      </c>
      <c r="B645">
        <v>644</v>
      </c>
      <c r="C645" t="s">
        <v>3026</v>
      </c>
    </row>
    <row r="646" spans="1:3" x14ac:dyDescent="0.25">
      <c r="A646">
        <v>645</v>
      </c>
      <c r="B646">
        <v>645</v>
      </c>
    </row>
    <row r="647" spans="1:3" x14ac:dyDescent="0.25">
      <c r="A647">
        <v>646</v>
      </c>
      <c r="B647">
        <v>646</v>
      </c>
      <c r="C647" t="s">
        <v>3027</v>
      </c>
    </row>
    <row r="648" spans="1:3" x14ac:dyDescent="0.25">
      <c r="A648">
        <v>647</v>
      </c>
      <c r="B648">
        <v>647</v>
      </c>
      <c r="C648" t="s">
        <v>3028</v>
      </c>
    </row>
    <row r="649" spans="1:3" x14ac:dyDescent="0.25">
      <c r="A649">
        <v>648</v>
      </c>
      <c r="B649">
        <v>648</v>
      </c>
      <c r="C649" t="s">
        <v>3029</v>
      </c>
    </row>
    <row r="650" spans="1:3" x14ac:dyDescent="0.25">
      <c r="A650">
        <v>649</v>
      </c>
      <c r="B650">
        <v>649</v>
      </c>
      <c r="C650" t="s">
        <v>2865</v>
      </c>
    </row>
    <row r="651" spans="1:3" x14ac:dyDescent="0.25">
      <c r="A651">
        <v>650</v>
      </c>
      <c r="B651">
        <v>650</v>
      </c>
      <c r="C651" t="s">
        <v>3030</v>
      </c>
    </row>
    <row r="652" spans="1:3" x14ac:dyDescent="0.25">
      <c r="A652">
        <v>651</v>
      </c>
      <c r="B652">
        <v>651</v>
      </c>
      <c r="C652" t="s">
        <v>3020</v>
      </c>
    </row>
    <row r="653" spans="1:3" x14ac:dyDescent="0.25">
      <c r="A653">
        <v>652</v>
      </c>
      <c r="B653">
        <v>652</v>
      </c>
      <c r="C653" t="s">
        <v>3031</v>
      </c>
    </row>
    <row r="654" spans="1:3" x14ac:dyDescent="0.25">
      <c r="A654">
        <v>653</v>
      </c>
      <c r="B654">
        <v>653</v>
      </c>
      <c r="C654" t="s">
        <v>3032</v>
      </c>
    </row>
    <row r="655" spans="1:3" x14ac:dyDescent="0.25">
      <c r="A655">
        <v>654</v>
      </c>
      <c r="B655">
        <v>654</v>
      </c>
    </row>
    <row r="656" spans="1:3" x14ac:dyDescent="0.25">
      <c r="A656">
        <v>655</v>
      </c>
      <c r="B656">
        <v>655</v>
      </c>
      <c r="C656" t="s">
        <v>2649</v>
      </c>
    </row>
    <row r="657" spans="1:3" x14ac:dyDescent="0.25">
      <c r="A657">
        <v>656</v>
      </c>
      <c r="B657">
        <v>656</v>
      </c>
      <c r="C657" t="s">
        <v>3033</v>
      </c>
    </row>
    <row r="658" spans="1:3" x14ac:dyDescent="0.25">
      <c r="A658">
        <v>657</v>
      </c>
      <c r="B658">
        <v>657</v>
      </c>
      <c r="C658" t="s">
        <v>3034</v>
      </c>
    </row>
    <row r="659" spans="1:3" x14ac:dyDescent="0.25">
      <c r="A659">
        <v>658</v>
      </c>
      <c r="B659">
        <v>658</v>
      </c>
      <c r="C659" t="s">
        <v>3035</v>
      </c>
    </row>
    <row r="660" spans="1:3" x14ac:dyDescent="0.25">
      <c r="A660">
        <v>659</v>
      </c>
      <c r="B660">
        <v>659</v>
      </c>
      <c r="C660" t="s">
        <v>3022</v>
      </c>
    </row>
    <row r="661" spans="1:3" x14ac:dyDescent="0.25">
      <c r="A661">
        <v>660</v>
      </c>
      <c r="B661">
        <v>660</v>
      </c>
      <c r="C661" t="s">
        <v>3026</v>
      </c>
    </row>
    <row r="662" spans="1:3" x14ac:dyDescent="0.25">
      <c r="A662">
        <v>661</v>
      </c>
      <c r="B662">
        <v>661</v>
      </c>
      <c r="C662" t="s">
        <v>2865</v>
      </c>
    </row>
    <row r="663" spans="1:3" x14ac:dyDescent="0.25">
      <c r="A663">
        <v>662</v>
      </c>
      <c r="B663">
        <v>662</v>
      </c>
      <c r="C663" t="s">
        <v>3019</v>
      </c>
    </row>
    <row r="664" spans="1:3" x14ac:dyDescent="0.25">
      <c r="A664">
        <v>663</v>
      </c>
      <c r="B664">
        <v>663</v>
      </c>
      <c r="C664" t="s">
        <v>3020</v>
      </c>
    </row>
    <row r="665" spans="1:3" x14ac:dyDescent="0.25">
      <c r="A665">
        <v>664</v>
      </c>
      <c r="B665">
        <v>664</v>
      </c>
      <c r="C665" t="s">
        <v>3021</v>
      </c>
    </row>
    <row r="666" spans="1:3" x14ac:dyDescent="0.25">
      <c r="A666">
        <v>665</v>
      </c>
      <c r="B666">
        <v>665</v>
      </c>
      <c r="C666" t="s">
        <v>3022</v>
      </c>
    </row>
    <row r="667" spans="1:3" x14ac:dyDescent="0.25">
      <c r="A667">
        <v>666</v>
      </c>
      <c r="B667">
        <v>666</v>
      </c>
    </row>
    <row r="668" spans="1:3" x14ac:dyDescent="0.25">
      <c r="A668">
        <v>667</v>
      </c>
      <c r="B668">
        <v>667</v>
      </c>
      <c r="C668" t="s">
        <v>3036</v>
      </c>
    </row>
    <row r="669" spans="1:3" x14ac:dyDescent="0.25">
      <c r="A669">
        <v>668</v>
      </c>
      <c r="B669">
        <v>668</v>
      </c>
      <c r="C669" t="s">
        <v>3037</v>
      </c>
    </row>
    <row r="670" spans="1:3" x14ac:dyDescent="0.25">
      <c r="A670">
        <v>669</v>
      </c>
      <c r="B670">
        <v>669</v>
      </c>
      <c r="C670" t="s">
        <v>3038</v>
      </c>
    </row>
    <row r="671" spans="1:3" x14ac:dyDescent="0.25">
      <c r="A671">
        <v>670</v>
      </c>
      <c r="B671">
        <v>670</v>
      </c>
      <c r="C671" t="s">
        <v>3024</v>
      </c>
    </row>
    <row r="672" spans="1:3" x14ac:dyDescent="0.25">
      <c r="A672">
        <v>671</v>
      </c>
      <c r="B672">
        <v>671</v>
      </c>
      <c r="C672" t="s">
        <v>3039</v>
      </c>
    </row>
    <row r="673" spans="1:4" x14ac:dyDescent="0.25">
      <c r="A673">
        <v>672</v>
      </c>
      <c r="B673">
        <v>672</v>
      </c>
    </row>
    <row r="674" spans="1:4" x14ac:dyDescent="0.25">
      <c r="A674">
        <v>673</v>
      </c>
      <c r="B674">
        <v>673</v>
      </c>
    </row>
    <row r="675" spans="1:4" x14ac:dyDescent="0.25">
      <c r="A675">
        <v>674</v>
      </c>
      <c r="B675">
        <v>674</v>
      </c>
    </row>
    <row r="676" spans="1:4" x14ac:dyDescent="0.25">
      <c r="A676">
        <v>675</v>
      </c>
      <c r="B676">
        <v>675</v>
      </c>
    </row>
    <row r="677" spans="1:4" x14ac:dyDescent="0.25">
      <c r="A677">
        <v>676</v>
      </c>
      <c r="B677">
        <v>676</v>
      </c>
      <c r="C677" t="s">
        <v>3040</v>
      </c>
    </row>
    <row r="678" spans="1:4" x14ac:dyDescent="0.25">
      <c r="A678">
        <v>677</v>
      </c>
      <c r="B678">
        <v>677</v>
      </c>
    </row>
    <row r="679" spans="1:4" x14ac:dyDescent="0.25">
      <c r="A679">
        <v>678</v>
      </c>
      <c r="B679">
        <v>678</v>
      </c>
      <c r="C679" t="s">
        <v>2873</v>
      </c>
    </row>
    <row r="680" spans="1:4" x14ac:dyDescent="0.25">
      <c r="A680">
        <v>679</v>
      </c>
      <c r="B680">
        <v>679</v>
      </c>
    </row>
    <row r="681" spans="1:4" x14ac:dyDescent="0.25">
      <c r="A681">
        <v>680</v>
      </c>
      <c r="B681">
        <v>680</v>
      </c>
      <c r="C681" t="s">
        <v>2643</v>
      </c>
      <c r="D681" t="s">
        <v>2644</v>
      </c>
    </row>
    <row r="682" spans="1:4" x14ac:dyDescent="0.25">
      <c r="A682">
        <v>681</v>
      </c>
      <c r="B682">
        <v>681</v>
      </c>
    </row>
    <row r="683" spans="1:4" x14ac:dyDescent="0.25">
      <c r="A683">
        <v>682</v>
      </c>
      <c r="B683">
        <v>682</v>
      </c>
      <c r="C683" t="s">
        <v>2645</v>
      </c>
    </row>
    <row r="684" spans="1:4" x14ac:dyDescent="0.25">
      <c r="A684">
        <v>683</v>
      </c>
      <c r="B684">
        <v>683</v>
      </c>
      <c r="C684" t="s">
        <v>2646</v>
      </c>
    </row>
    <row r="685" spans="1:4" x14ac:dyDescent="0.25">
      <c r="A685">
        <v>684</v>
      </c>
      <c r="B685">
        <v>684</v>
      </c>
      <c r="C685" t="s">
        <v>2647</v>
      </c>
    </row>
    <row r="686" spans="1:4" x14ac:dyDescent="0.25">
      <c r="A686">
        <v>685</v>
      </c>
      <c r="B686">
        <v>685</v>
      </c>
    </row>
    <row r="687" spans="1:4" x14ac:dyDescent="0.25">
      <c r="A687">
        <v>686</v>
      </c>
      <c r="B687">
        <v>686</v>
      </c>
      <c r="C687" t="s">
        <v>3041</v>
      </c>
    </row>
    <row r="688" spans="1:4" x14ac:dyDescent="0.25">
      <c r="A688">
        <v>687</v>
      </c>
      <c r="B688">
        <v>687</v>
      </c>
      <c r="C688" t="s">
        <v>3042</v>
      </c>
    </row>
    <row r="689" spans="1:3" x14ac:dyDescent="0.25">
      <c r="A689">
        <v>688</v>
      </c>
      <c r="B689">
        <v>688</v>
      </c>
      <c r="C689" t="s">
        <v>2987</v>
      </c>
    </row>
    <row r="690" spans="1:3" x14ac:dyDescent="0.25">
      <c r="A690">
        <v>689</v>
      </c>
      <c r="B690">
        <v>689</v>
      </c>
      <c r="C690" t="s">
        <v>2988</v>
      </c>
    </row>
    <row r="691" spans="1:3" x14ac:dyDescent="0.25">
      <c r="A691">
        <v>690</v>
      </c>
      <c r="B691">
        <v>690</v>
      </c>
    </row>
    <row r="692" spans="1:3" x14ac:dyDescent="0.25">
      <c r="A692">
        <v>691</v>
      </c>
      <c r="B692">
        <v>691</v>
      </c>
      <c r="C692" t="s">
        <v>3043</v>
      </c>
    </row>
    <row r="693" spans="1:3" x14ac:dyDescent="0.25">
      <c r="A693">
        <v>692</v>
      </c>
      <c r="B693">
        <v>692</v>
      </c>
    </row>
    <row r="694" spans="1:3" x14ac:dyDescent="0.25">
      <c r="A694">
        <v>693</v>
      </c>
      <c r="B694">
        <v>693</v>
      </c>
      <c r="C694" t="s">
        <v>3044</v>
      </c>
    </row>
    <row r="695" spans="1:3" x14ac:dyDescent="0.25">
      <c r="A695">
        <v>694</v>
      </c>
      <c r="B695">
        <v>694</v>
      </c>
      <c r="C695" t="s">
        <v>3045</v>
      </c>
    </row>
    <row r="696" spans="1:3" x14ac:dyDescent="0.25">
      <c r="A696">
        <v>695</v>
      </c>
      <c r="B696">
        <v>695</v>
      </c>
      <c r="C696" t="s">
        <v>3046</v>
      </c>
    </row>
    <row r="697" spans="1:3" x14ac:dyDescent="0.25">
      <c r="A697">
        <v>696</v>
      </c>
      <c r="B697">
        <v>696</v>
      </c>
      <c r="C697" t="s">
        <v>3047</v>
      </c>
    </row>
    <row r="698" spans="1:3" x14ac:dyDescent="0.25">
      <c r="A698">
        <v>697</v>
      </c>
      <c r="B698">
        <v>697</v>
      </c>
      <c r="C698" t="s">
        <v>3048</v>
      </c>
    </row>
    <row r="699" spans="1:3" x14ac:dyDescent="0.25">
      <c r="A699">
        <v>698</v>
      </c>
      <c r="B699">
        <v>698</v>
      </c>
      <c r="C699" t="s">
        <v>3049</v>
      </c>
    </row>
    <row r="700" spans="1:3" x14ac:dyDescent="0.25">
      <c r="A700">
        <v>699</v>
      </c>
      <c r="B700">
        <v>699</v>
      </c>
      <c r="C700" t="s">
        <v>3050</v>
      </c>
    </row>
    <row r="701" spans="1:3" x14ac:dyDescent="0.25">
      <c r="A701">
        <v>700</v>
      </c>
      <c r="B701">
        <v>700</v>
      </c>
      <c r="C701" t="s">
        <v>3051</v>
      </c>
    </row>
    <row r="702" spans="1:3" x14ac:dyDescent="0.25">
      <c r="A702">
        <v>701</v>
      </c>
      <c r="B702">
        <v>701</v>
      </c>
      <c r="C702" t="s">
        <v>3052</v>
      </c>
    </row>
    <row r="703" spans="1:3" x14ac:dyDescent="0.25">
      <c r="A703">
        <v>702</v>
      </c>
      <c r="B703">
        <v>702</v>
      </c>
      <c r="C703" t="s">
        <v>3053</v>
      </c>
    </row>
    <row r="704" spans="1:3" x14ac:dyDescent="0.25">
      <c r="A704">
        <v>703</v>
      </c>
      <c r="B704">
        <v>703</v>
      </c>
      <c r="C704" t="s">
        <v>3054</v>
      </c>
    </row>
    <row r="705" spans="1:4" x14ac:dyDescent="0.25">
      <c r="A705">
        <v>704</v>
      </c>
      <c r="B705">
        <v>704</v>
      </c>
      <c r="C705" t="s">
        <v>3055</v>
      </c>
    </row>
    <row r="706" spans="1:4" x14ac:dyDescent="0.25">
      <c r="A706">
        <v>705</v>
      </c>
      <c r="B706">
        <v>705</v>
      </c>
      <c r="C706" t="s">
        <v>3056</v>
      </c>
    </row>
    <row r="707" spans="1:4" x14ac:dyDescent="0.25">
      <c r="A707">
        <v>706</v>
      </c>
      <c r="B707">
        <v>706</v>
      </c>
      <c r="C707" t="s">
        <v>3057</v>
      </c>
    </row>
    <row r="708" spans="1:4" x14ac:dyDescent="0.25">
      <c r="A708">
        <v>707</v>
      </c>
      <c r="B708">
        <v>707</v>
      </c>
      <c r="C708" t="s">
        <v>3058</v>
      </c>
    </row>
    <row r="709" spans="1:4" x14ac:dyDescent="0.25">
      <c r="A709">
        <v>708</v>
      </c>
      <c r="B709">
        <v>708</v>
      </c>
      <c r="C709" t="s">
        <v>3059</v>
      </c>
    </row>
    <row r="710" spans="1:4" x14ac:dyDescent="0.25">
      <c r="A710">
        <v>709</v>
      </c>
      <c r="B710">
        <v>709</v>
      </c>
      <c r="C710" t="s">
        <v>3060</v>
      </c>
    </row>
    <row r="711" spans="1:4" x14ac:dyDescent="0.25">
      <c r="A711">
        <v>710</v>
      </c>
      <c r="B711">
        <v>710</v>
      </c>
    </row>
    <row r="712" spans="1:4" x14ac:dyDescent="0.25">
      <c r="A712">
        <v>711</v>
      </c>
      <c r="B712">
        <v>711</v>
      </c>
    </row>
    <row r="713" spans="1:4" x14ac:dyDescent="0.25">
      <c r="A713">
        <v>712</v>
      </c>
      <c r="B713">
        <v>712</v>
      </c>
      <c r="C713" t="s">
        <v>3061</v>
      </c>
      <c r="D713" t="s">
        <v>3062</v>
      </c>
    </row>
    <row r="714" spans="1:4" x14ac:dyDescent="0.25">
      <c r="A714">
        <v>713</v>
      </c>
      <c r="B714">
        <v>713</v>
      </c>
      <c r="C714" t="s">
        <v>3063</v>
      </c>
    </row>
    <row r="715" spans="1:4" x14ac:dyDescent="0.25">
      <c r="A715">
        <v>714</v>
      </c>
      <c r="B715">
        <v>714</v>
      </c>
    </row>
    <row r="716" spans="1:4" x14ac:dyDescent="0.25">
      <c r="A716">
        <v>715</v>
      </c>
      <c r="B716">
        <v>715</v>
      </c>
    </row>
    <row r="717" spans="1:4" x14ac:dyDescent="0.25">
      <c r="A717">
        <v>716</v>
      </c>
      <c r="B717">
        <v>716</v>
      </c>
    </row>
    <row r="718" spans="1:4" x14ac:dyDescent="0.25">
      <c r="A718">
        <v>717</v>
      </c>
      <c r="B718">
        <v>717</v>
      </c>
    </row>
    <row r="719" spans="1:4" x14ac:dyDescent="0.25">
      <c r="A719">
        <v>718</v>
      </c>
      <c r="B719">
        <v>718</v>
      </c>
      <c r="C719" t="s">
        <v>3064</v>
      </c>
    </row>
    <row r="720" spans="1:4" x14ac:dyDescent="0.25">
      <c r="A720">
        <v>719</v>
      </c>
      <c r="B720">
        <v>719</v>
      </c>
      <c r="C720" t="s">
        <v>3065</v>
      </c>
    </row>
    <row r="721" spans="1:3" x14ac:dyDescent="0.25">
      <c r="A721">
        <v>720</v>
      </c>
      <c r="B721">
        <v>720</v>
      </c>
      <c r="C721" t="s">
        <v>3066</v>
      </c>
    </row>
    <row r="722" spans="1:3" x14ac:dyDescent="0.25">
      <c r="A722">
        <v>721</v>
      </c>
      <c r="B722">
        <v>721</v>
      </c>
      <c r="C722" t="s">
        <v>3067</v>
      </c>
    </row>
    <row r="723" spans="1:3" x14ac:dyDescent="0.25">
      <c r="A723">
        <v>722</v>
      </c>
      <c r="B723">
        <v>722</v>
      </c>
      <c r="C723" t="s">
        <v>3068</v>
      </c>
    </row>
    <row r="724" spans="1:3" x14ac:dyDescent="0.25">
      <c r="A724">
        <v>723</v>
      </c>
      <c r="B724">
        <v>723</v>
      </c>
      <c r="C724" t="s">
        <v>3069</v>
      </c>
    </row>
    <row r="725" spans="1:3" x14ac:dyDescent="0.25">
      <c r="A725">
        <v>724</v>
      </c>
      <c r="B725">
        <v>724</v>
      </c>
      <c r="C725" t="s">
        <v>3070</v>
      </c>
    </row>
    <row r="726" spans="1:3" x14ac:dyDescent="0.25">
      <c r="A726">
        <v>725</v>
      </c>
      <c r="B726">
        <v>725</v>
      </c>
      <c r="C726" t="s">
        <v>214</v>
      </c>
    </row>
    <row r="727" spans="1:3" x14ac:dyDescent="0.25">
      <c r="A727">
        <v>726</v>
      </c>
      <c r="B727">
        <v>726</v>
      </c>
      <c r="C727" t="s">
        <v>3071</v>
      </c>
    </row>
    <row r="728" spans="1:3" x14ac:dyDescent="0.25">
      <c r="A728">
        <v>727</v>
      </c>
      <c r="B728">
        <v>727</v>
      </c>
      <c r="C728" t="s">
        <v>21</v>
      </c>
    </row>
    <row r="729" spans="1:3" x14ac:dyDescent="0.25">
      <c r="A729">
        <v>728</v>
      </c>
      <c r="B729">
        <v>728</v>
      </c>
    </row>
    <row r="730" spans="1:3" x14ac:dyDescent="0.25">
      <c r="A730">
        <v>729</v>
      </c>
      <c r="B730">
        <v>729</v>
      </c>
      <c r="C730" t="s">
        <v>3072</v>
      </c>
    </row>
    <row r="731" spans="1:3" x14ac:dyDescent="0.25">
      <c r="A731">
        <v>730</v>
      </c>
      <c r="B731">
        <v>730</v>
      </c>
      <c r="C731" t="s">
        <v>3073</v>
      </c>
    </row>
    <row r="732" spans="1:3" x14ac:dyDescent="0.25">
      <c r="A732">
        <v>731</v>
      </c>
      <c r="B732">
        <v>731</v>
      </c>
      <c r="C732" t="s">
        <v>3074</v>
      </c>
    </row>
    <row r="733" spans="1:3" x14ac:dyDescent="0.25">
      <c r="A733">
        <v>732</v>
      </c>
      <c r="B733">
        <v>732</v>
      </c>
      <c r="C733" t="s">
        <v>3075</v>
      </c>
    </row>
    <row r="734" spans="1:3" x14ac:dyDescent="0.25">
      <c r="A734">
        <v>733</v>
      </c>
      <c r="B734">
        <v>733</v>
      </c>
      <c r="C734" t="s">
        <v>3076</v>
      </c>
    </row>
    <row r="735" spans="1:3" x14ac:dyDescent="0.25">
      <c r="A735">
        <v>734</v>
      </c>
      <c r="B735">
        <v>734</v>
      </c>
      <c r="C735" t="s">
        <v>3077</v>
      </c>
    </row>
    <row r="736" spans="1:3" x14ac:dyDescent="0.25">
      <c r="A736">
        <v>735</v>
      </c>
      <c r="B736">
        <v>735</v>
      </c>
      <c r="C736" t="s">
        <v>3070</v>
      </c>
    </row>
    <row r="737" spans="1:3" x14ac:dyDescent="0.25">
      <c r="A737">
        <v>736</v>
      </c>
      <c r="B737">
        <v>736</v>
      </c>
      <c r="C737" t="s">
        <v>214</v>
      </c>
    </row>
    <row r="738" spans="1:3" x14ac:dyDescent="0.25">
      <c r="A738">
        <v>737</v>
      </c>
      <c r="B738">
        <v>737</v>
      </c>
      <c r="C738" t="s">
        <v>3078</v>
      </c>
    </row>
    <row r="739" spans="1:3" x14ac:dyDescent="0.25">
      <c r="A739">
        <v>738</v>
      </c>
      <c r="B739">
        <v>738</v>
      </c>
      <c r="C739" t="s">
        <v>21</v>
      </c>
    </row>
    <row r="740" spans="1:3" x14ac:dyDescent="0.25">
      <c r="A740">
        <v>739</v>
      </c>
      <c r="B740">
        <v>739</v>
      </c>
    </row>
    <row r="741" spans="1:3" x14ac:dyDescent="0.25">
      <c r="A741">
        <v>740</v>
      </c>
      <c r="B741">
        <v>740</v>
      </c>
      <c r="C741" t="s">
        <v>3079</v>
      </c>
    </row>
    <row r="742" spans="1:3" x14ac:dyDescent="0.25">
      <c r="A742">
        <v>741</v>
      </c>
      <c r="B742">
        <v>741</v>
      </c>
      <c r="C742" t="s">
        <v>3080</v>
      </c>
    </row>
    <row r="743" spans="1:3" x14ac:dyDescent="0.25">
      <c r="A743">
        <v>742</v>
      </c>
      <c r="B743">
        <v>742</v>
      </c>
      <c r="C743" s="1" t="s">
        <v>3081</v>
      </c>
    </row>
    <row r="744" spans="1:3" x14ac:dyDescent="0.25">
      <c r="A744">
        <v>743</v>
      </c>
      <c r="B744">
        <v>743</v>
      </c>
      <c r="C744" t="s">
        <v>3082</v>
      </c>
    </row>
    <row r="745" spans="1:3" x14ac:dyDescent="0.25">
      <c r="A745">
        <v>744</v>
      </c>
      <c r="B745">
        <v>744</v>
      </c>
      <c r="C745" t="s">
        <v>3083</v>
      </c>
    </row>
    <row r="746" spans="1:3" x14ac:dyDescent="0.25">
      <c r="A746">
        <v>745</v>
      </c>
      <c r="B746">
        <v>745</v>
      </c>
      <c r="C746" t="s">
        <v>3084</v>
      </c>
    </row>
    <row r="747" spans="1:3" x14ac:dyDescent="0.25">
      <c r="A747">
        <v>746</v>
      </c>
      <c r="B747">
        <v>746</v>
      </c>
      <c r="C747" t="s">
        <v>3085</v>
      </c>
    </row>
    <row r="748" spans="1:3" x14ac:dyDescent="0.25">
      <c r="A748">
        <v>747</v>
      </c>
      <c r="B748">
        <v>747</v>
      </c>
      <c r="C748" t="s">
        <v>3070</v>
      </c>
    </row>
    <row r="749" spans="1:3" x14ac:dyDescent="0.25">
      <c r="A749">
        <v>748</v>
      </c>
      <c r="B749">
        <v>748</v>
      </c>
      <c r="C749" t="s">
        <v>214</v>
      </c>
    </row>
    <row r="750" spans="1:3" x14ac:dyDescent="0.25">
      <c r="A750">
        <v>749</v>
      </c>
      <c r="B750">
        <v>749</v>
      </c>
      <c r="C750" t="s">
        <v>3086</v>
      </c>
    </row>
    <row r="751" spans="1:3" x14ac:dyDescent="0.25">
      <c r="A751">
        <v>750</v>
      </c>
      <c r="B751">
        <v>750</v>
      </c>
      <c r="C751" t="s">
        <v>21</v>
      </c>
    </row>
    <row r="752" spans="1:3" x14ac:dyDescent="0.25">
      <c r="A752">
        <v>751</v>
      </c>
      <c r="B752">
        <v>751</v>
      </c>
    </row>
    <row r="753" spans="1:3" x14ac:dyDescent="0.25">
      <c r="A753">
        <v>752</v>
      </c>
      <c r="B753">
        <v>752</v>
      </c>
      <c r="C753" t="s">
        <v>3087</v>
      </c>
    </row>
    <row r="754" spans="1:3" x14ac:dyDescent="0.25">
      <c r="A754">
        <v>753</v>
      </c>
      <c r="B754">
        <v>753</v>
      </c>
      <c r="C754" t="s">
        <v>3088</v>
      </c>
    </row>
    <row r="755" spans="1:3" x14ac:dyDescent="0.25">
      <c r="A755">
        <v>754</v>
      </c>
      <c r="B755">
        <v>754</v>
      </c>
      <c r="C755" t="s">
        <v>3089</v>
      </c>
    </row>
    <row r="756" spans="1:3" x14ac:dyDescent="0.25">
      <c r="A756">
        <v>755</v>
      </c>
      <c r="B756">
        <v>755</v>
      </c>
      <c r="C756" t="s">
        <v>3090</v>
      </c>
    </row>
    <row r="757" spans="1:3" x14ac:dyDescent="0.25">
      <c r="A757">
        <v>756</v>
      </c>
      <c r="B757">
        <v>756</v>
      </c>
      <c r="C757" t="s">
        <v>1072</v>
      </c>
    </row>
    <row r="758" spans="1:3" x14ac:dyDescent="0.25">
      <c r="A758">
        <v>757</v>
      </c>
      <c r="B758">
        <v>757</v>
      </c>
      <c r="C758" t="s">
        <v>21</v>
      </c>
    </row>
    <row r="759" spans="1:3" x14ac:dyDescent="0.25">
      <c r="A759">
        <v>758</v>
      </c>
      <c r="B759">
        <v>758</v>
      </c>
    </row>
    <row r="760" spans="1:3" x14ac:dyDescent="0.25">
      <c r="A760">
        <v>759</v>
      </c>
      <c r="B760">
        <v>759</v>
      </c>
    </row>
    <row r="761" spans="1:3" x14ac:dyDescent="0.25">
      <c r="A761">
        <v>760</v>
      </c>
      <c r="B761">
        <v>760</v>
      </c>
    </row>
    <row r="762" spans="1:3" x14ac:dyDescent="0.25">
      <c r="A762">
        <v>761</v>
      </c>
      <c r="B762">
        <v>761</v>
      </c>
      <c r="C762" t="s">
        <v>3091</v>
      </c>
    </row>
    <row r="763" spans="1:3" x14ac:dyDescent="0.25">
      <c r="A763">
        <v>762</v>
      </c>
      <c r="B763">
        <v>762</v>
      </c>
      <c r="C763" t="s">
        <v>3092</v>
      </c>
    </row>
    <row r="764" spans="1:3" x14ac:dyDescent="0.25">
      <c r="A764">
        <v>763</v>
      </c>
      <c r="B764">
        <v>763</v>
      </c>
      <c r="C764" t="s">
        <v>3093</v>
      </c>
    </row>
    <row r="765" spans="1:3" x14ac:dyDescent="0.25">
      <c r="A765">
        <v>764</v>
      </c>
      <c r="B765">
        <v>764</v>
      </c>
      <c r="C765" s="1" t="s">
        <v>3094</v>
      </c>
    </row>
    <row r="766" spans="1:3" x14ac:dyDescent="0.25">
      <c r="A766">
        <v>765</v>
      </c>
      <c r="B766">
        <v>765</v>
      </c>
      <c r="C766" t="s">
        <v>3095</v>
      </c>
    </row>
    <row r="767" spans="1:3" x14ac:dyDescent="0.25">
      <c r="A767">
        <v>766</v>
      </c>
      <c r="B767">
        <v>766</v>
      </c>
      <c r="C767" s="1" t="s">
        <v>3096</v>
      </c>
    </row>
    <row r="768" spans="1:3" x14ac:dyDescent="0.25">
      <c r="A768">
        <v>767</v>
      </c>
      <c r="B768">
        <v>767</v>
      </c>
      <c r="C768" t="s">
        <v>3097</v>
      </c>
    </row>
    <row r="769" spans="1:3" x14ac:dyDescent="0.25">
      <c r="A769">
        <v>768</v>
      </c>
      <c r="B769">
        <v>768</v>
      </c>
      <c r="C769" s="1" t="s">
        <v>3098</v>
      </c>
    </row>
    <row r="770" spans="1:3" x14ac:dyDescent="0.25">
      <c r="A770">
        <v>769</v>
      </c>
      <c r="B770">
        <v>769</v>
      </c>
      <c r="C770" s="1" t="s">
        <v>3099</v>
      </c>
    </row>
    <row r="771" spans="1:3" x14ac:dyDescent="0.25">
      <c r="A771">
        <v>770</v>
      </c>
      <c r="B771">
        <v>770</v>
      </c>
      <c r="C771" s="1" t="s">
        <v>3098</v>
      </c>
    </row>
    <row r="772" spans="1:3" x14ac:dyDescent="0.25">
      <c r="A772">
        <v>771</v>
      </c>
      <c r="B772">
        <v>771</v>
      </c>
      <c r="C772" s="1" t="s">
        <v>3100</v>
      </c>
    </row>
    <row r="773" spans="1:3" x14ac:dyDescent="0.25">
      <c r="A773">
        <v>772</v>
      </c>
      <c r="B773">
        <v>772</v>
      </c>
      <c r="C773" t="s">
        <v>3101</v>
      </c>
    </row>
    <row r="774" spans="1:3" x14ac:dyDescent="0.25">
      <c r="A774">
        <v>773</v>
      </c>
      <c r="B774">
        <v>773</v>
      </c>
      <c r="C774" s="1" t="s">
        <v>3102</v>
      </c>
    </row>
    <row r="775" spans="1:3" x14ac:dyDescent="0.25">
      <c r="A775">
        <v>774</v>
      </c>
      <c r="B775">
        <v>774</v>
      </c>
      <c r="C775" t="s">
        <v>3103</v>
      </c>
    </row>
    <row r="776" spans="1:3" x14ac:dyDescent="0.25">
      <c r="A776">
        <v>775</v>
      </c>
      <c r="B776">
        <v>775</v>
      </c>
      <c r="C776" t="s">
        <v>21</v>
      </c>
    </row>
    <row r="777" spans="1:3" x14ac:dyDescent="0.25">
      <c r="A777">
        <v>776</v>
      </c>
      <c r="B777">
        <v>776</v>
      </c>
    </row>
    <row r="778" spans="1:3" x14ac:dyDescent="0.25">
      <c r="A778">
        <v>777</v>
      </c>
      <c r="B778">
        <v>777</v>
      </c>
      <c r="C778" t="s">
        <v>3104</v>
      </c>
    </row>
    <row r="779" spans="1:3" x14ac:dyDescent="0.25">
      <c r="A779">
        <v>778</v>
      </c>
      <c r="B779">
        <v>778</v>
      </c>
      <c r="C779" s="1" t="s">
        <v>3105</v>
      </c>
    </row>
    <row r="780" spans="1:3" x14ac:dyDescent="0.25">
      <c r="A780">
        <v>779</v>
      </c>
      <c r="B780">
        <v>779</v>
      </c>
      <c r="C780" t="s">
        <v>3106</v>
      </c>
    </row>
    <row r="781" spans="1:3" x14ac:dyDescent="0.25">
      <c r="A781">
        <v>780</v>
      </c>
      <c r="B781">
        <v>780</v>
      </c>
      <c r="C781" t="s">
        <v>3107</v>
      </c>
    </row>
    <row r="782" spans="1:3" x14ac:dyDescent="0.25">
      <c r="A782">
        <v>781</v>
      </c>
      <c r="B782">
        <v>781</v>
      </c>
      <c r="C782" s="1" t="s">
        <v>3096</v>
      </c>
    </row>
    <row r="783" spans="1:3" x14ac:dyDescent="0.25">
      <c r="A783">
        <v>782</v>
      </c>
      <c r="B783">
        <v>782</v>
      </c>
      <c r="C783" t="s">
        <v>3097</v>
      </c>
    </row>
    <row r="784" spans="1:3" x14ac:dyDescent="0.25">
      <c r="A784">
        <v>783</v>
      </c>
      <c r="B784">
        <v>783</v>
      </c>
      <c r="C784" s="1" t="s">
        <v>3098</v>
      </c>
    </row>
    <row r="785" spans="1:3" x14ac:dyDescent="0.25">
      <c r="A785">
        <v>784</v>
      </c>
      <c r="B785">
        <v>784</v>
      </c>
      <c r="C785" s="1" t="s">
        <v>3099</v>
      </c>
    </row>
    <row r="786" spans="1:3" x14ac:dyDescent="0.25">
      <c r="A786">
        <v>785</v>
      </c>
      <c r="B786">
        <v>785</v>
      </c>
      <c r="C786" s="1" t="s">
        <v>3098</v>
      </c>
    </row>
    <row r="787" spans="1:3" x14ac:dyDescent="0.25">
      <c r="A787">
        <v>786</v>
      </c>
      <c r="B787">
        <v>786</v>
      </c>
      <c r="C787" s="1" t="s">
        <v>3100</v>
      </c>
    </row>
    <row r="788" spans="1:3" x14ac:dyDescent="0.25">
      <c r="A788">
        <v>787</v>
      </c>
      <c r="B788">
        <v>787</v>
      </c>
      <c r="C788" t="s">
        <v>3108</v>
      </c>
    </row>
    <row r="789" spans="1:3" x14ac:dyDescent="0.25">
      <c r="A789">
        <v>788</v>
      </c>
      <c r="B789">
        <v>788</v>
      </c>
      <c r="C789" s="1" t="s">
        <v>3102</v>
      </c>
    </row>
    <row r="790" spans="1:3" x14ac:dyDescent="0.25">
      <c r="A790">
        <v>789</v>
      </c>
      <c r="B790">
        <v>789</v>
      </c>
      <c r="C790" t="s">
        <v>3109</v>
      </c>
    </row>
    <row r="791" spans="1:3" x14ac:dyDescent="0.25">
      <c r="A791">
        <v>790</v>
      </c>
      <c r="B791">
        <v>790</v>
      </c>
      <c r="C791" t="s">
        <v>21</v>
      </c>
    </row>
    <row r="792" spans="1:3" x14ac:dyDescent="0.25">
      <c r="A792">
        <v>791</v>
      </c>
      <c r="B792">
        <v>791</v>
      </c>
    </row>
    <row r="793" spans="1:3" x14ac:dyDescent="0.25">
      <c r="A793">
        <v>792</v>
      </c>
      <c r="B793">
        <v>792</v>
      </c>
      <c r="C793" t="s">
        <v>3110</v>
      </c>
    </row>
    <row r="794" spans="1:3" x14ac:dyDescent="0.25">
      <c r="A794">
        <v>793</v>
      </c>
      <c r="B794">
        <v>793</v>
      </c>
      <c r="C794" s="1" t="s">
        <v>3111</v>
      </c>
    </row>
    <row r="795" spans="1:3" x14ac:dyDescent="0.25">
      <c r="A795">
        <v>794</v>
      </c>
      <c r="B795">
        <v>794</v>
      </c>
      <c r="C795" t="s">
        <v>3112</v>
      </c>
    </row>
    <row r="796" spans="1:3" x14ac:dyDescent="0.25">
      <c r="A796">
        <v>795</v>
      </c>
      <c r="B796">
        <v>795</v>
      </c>
      <c r="C796" t="s">
        <v>21</v>
      </c>
    </row>
    <row r="797" spans="1:3" x14ac:dyDescent="0.25">
      <c r="A797">
        <v>796</v>
      </c>
      <c r="B797">
        <v>796</v>
      </c>
      <c r="C797" t="s">
        <v>3113</v>
      </c>
    </row>
    <row r="798" spans="1:3" x14ac:dyDescent="0.25">
      <c r="A798">
        <v>797</v>
      </c>
      <c r="B798">
        <v>797</v>
      </c>
    </row>
    <row r="799" spans="1:3" x14ac:dyDescent="0.25">
      <c r="A799">
        <v>798</v>
      </c>
      <c r="B799">
        <v>798</v>
      </c>
      <c r="C799" t="s">
        <v>3114</v>
      </c>
    </row>
    <row r="800" spans="1:3" x14ac:dyDescent="0.25">
      <c r="A800">
        <v>799</v>
      </c>
      <c r="B800">
        <v>799</v>
      </c>
      <c r="C800" t="s">
        <v>962</v>
      </c>
    </row>
    <row r="801" spans="1:3" x14ac:dyDescent="0.25">
      <c r="A801">
        <v>800</v>
      </c>
      <c r="B801">
        <v>800</v>
      </c>
      <c r="C801" t="s">
        <v>3115</v>
      </c>
    </row>
    <row r="802" spans="1:3" x14ac:dyDescent="0.25">
      <c r="A802">
        <v>801</v>
      </c>
      <c r="B802">
        <v>801</v>
      </c>
      <c r="C802" t="s">
        <v>3116</v>
      </c>
    </row>
    <row r="803" spans="1:3" x14ac:dyDescent="0.25">
      <c r="A803">
        <v>802</v>
      </c>
      <c r="B803">
        <v>802</v>
      </c>
      <c r="C803" t="s">
        <v>3117</v>
      </c>
    </row>
    <row r="804" spans="1:3" x14ac:dyDescent="0.25">
      <c r="A804">
        <v>803</v>
      </c>
      <c r="B804">
        <v>803</v>
      </c>
      <c r="C804" t="s">
        <v>3118</v>
      </c>
    </row>
    <row r="805" spans="1:3" x14ac:dyDescent="0.25">
      <c r="A805">
        <v>804</v>
      </c>
      <c r="B805">
        <v>804</v>
      </c>
      <c r="C805" t="s">
        <v>3119</v>
      </c>
    </row>
    <row r="806" spans="1:3" x14ac:dyDescent="0.25">
      <c r="A806">
        <v>805</v>
      </c>
      <c r="B806">
        <v>805</v>
      </c>
      <c r="C806" t="s">
        <v>3120</v>
      </c>
    </row>
    <row r="807" spans="1:3" x14ac:dyDescent="0.25">
      <c r="A807">
        <v>806</v>
      </c>
      <c r="B807">
        <v>806</v>
      </c>
      <c r="C807" t="s">
        <v>3121</v>
      </c>
    </row>
    <row r="808" spans="1:3" x14ac:dyDescent="0.25">
      <c r="A808">
        <v>807</v>
      </c>
      <c r="B808">
        <v>807</v>
      </c>
      <c r="C808" t="s">
        <v>21</v>
      </c>
    </row>
    <row r="809" spans="1:3" x14ac:dyDescent="0.25">
      <c r="A809">
        <v>808</v>
      </c>
      <c r="B809">
        <v>808</v>
      </c>
    </row>
    <row r="810" spans="1:3" x14ac:dyDescent="0.25">
      <c r="A810">
        <v>809</v>
      </c>
      <c r="B810">
        <v>809</v>
      </c>
      <c r="C810" t="s">
        <v>3122</v>
      </c>
    </row>
    <row r="811" spans="1:3" x14ac:dyDescent="0.25">
      <c r="A811">
        <v>810</v>
      </c>
      <c r="B811">
        <v>810</v>
      </c>
      <c r="C811" t="s">
        <v>3123</v>
      </c>
    </row>
    <row r="812" spans="1:3" x14ac:dyDescent="0.25">
      <c r="A812">
        <v>811</v>
      </c>
      <c r="B812">
        <v>811</v>
      </c>
      <c r="C812" t="s">
        <v>3124</v>
      </c>
    </row>
    <row r="813" spans="1:3" x14ac:dyDescent="0.25">
      <c r="A813">
        <v>812</v>
      </c>
      <c r="B813">
        <v>812</v>
      </c>
      <c r="C813" t="s">
        <v>3125</v>
      </c>
    </row>
    <row r="814" spans="1:3" x14ac:dyDescent="0.25">
      <c r="A814">
        <v>813</v>
      </c>
      <c r="B814">
        <v>813</v>
      </c>
      <c r="C814" t="s">
        <v>21</v>
      </c>
    </row>
    <row r="815" spans="1:3" x14ac:dyDescent="0.25">
      <c r="A815">
        <v>814</v>
      </c>
      <c r="B815">
        <v>814</v>
      </c>
    </row>
    <row r="816" spans="1:3" x14ac:dyDescent="0.25">
      <c r="A816">
        <v>815</v>
      </c>
      <c r="B816">
        <v>815</v>
      </c>
      <c r="C816" t="s">
        <v>3126</v>
      </c>
    </row>
    <row r="817" spans="1:4" x14ac:dyDescent="0.25">
      <c r="A817">
        <v>816</v>
      </c>
      <c r="B817">
        <v>816</v>
      </c>
      <c r="C817" t="s">
        <v>3127</v>
      </c>
      <c r="D817" t="s">
        <v>3128</v>
      </c>
    </row>
    <row r="818" spans="1:4" x14ac:dyDescent="0.25">
      <c r="A818">
        <v>817</v>
      </c>
      <c r="B818">
        <v>817</v>
      </c>
      <c r="C818" t="s">
        <v>21</v>
      </c>
    </row>
    <row r="819" spans="1:4" x14ac:dyDescent="0.25">
      <c r="A819">
        <v>818</v>
      </c>
      <c r="B819">
        <v>818</v>
      </c>
    </row>
    <row r="820" spans="1:4" x14ac:dyDescent="0.25">
      <c r="A820">
        <v>819</v>
      </c>
      <c r="B820">
        <v>819</v>
      </c>
      <c r="C820" t="s">
        <v>3129</v>
      </c>
    </row>
    <row r="821" spans="1:4" x14ac:dyDescent="0.25">
      <c r="A821">
        <v>820</v>
      </c>
      <c r="B821">
        <v>820</v>
      </c>
      <c r="C821" t="s">
        <v>3125</v>
      </c>
    </row>
    <row r="822" spans="1:4" x14ac:dyDescent="0.25">
      <c r="A822">
        <v>821</v>
      </c>
      <c r="B822">
        <v>821</v>
      </c>
      <c r="C822" t="s">
        <v>21</v>
      </c>
    </row>
    <row r="823" spans="1:4" x14ac:dyDescent="0.25">
      <c r="A823">
        <v>822</v>
      </c>
      <c r="B823">
        <v>822</v>
      </c>
    </row>
    <row r="824" spans="1:4" x14ac:dyDescent="0.25">
      <c r="A824">
        <v>823</v>
      </c>
      <c r="B824">
        <v>823</v>
      </c>
      <c r="C824" t="s">
        <v>3114</v>
      </c>
    </row>
    <row r="825" spans="1:4" x14ac:dyDescent="0.25">
      <c r="A825">
        <v>824</v>
      </c>
      <c r="B825">
        <v>824</v>
      </c>
      <c r="C825" t="s">
        <v>962</v>
      </c>
    </row>
    <row r="826" spans="1:4" x14ac:dyDescent="0.25">
      <c r="A826">
        <v>825</v>
      </c>
      <c r="B826">
        <v>825</v>
      </c>
      <c r="C826" t="s">
        <v>3115</v>
      </c>
    </row>
    <row r="827" spans="1:4" x14ac:dyDescent="0.25">
      <c r="A827">
        <v>826</v>
      </c>
      <c r="B827">
        <v>826</v>
      </c>
      <c r="C827" t="s">
        <v>3116</v>
      </c>
    </row>
    <row r="828" spans="1:4" x14ac:dyDescent="0.25">
      <c r="A828">
        <v>827</v>
      </c>
      <c r="B828">
        <v>827</v>
      </c>
      <c r="C828" t="s">
        <v>3117</v>
      </c>
    </row>
    <row r="829" spans="1:4" x14ac:dyDescent="0.25">
      <c r="A829">
        <v>828</v>
      </c>
      <c r="B829">
        <v>828</v>
      </c>
      <c r="C829" t="s">
        <v>3130</v>
      </c>
    </row>
    <row r="830" spans="1:4" x14ac:dyDescent="0.25">
      <c r="A830">
        <v>829</v>
      </c>
      <c r="B830">
        <v>829</v>
      </c>
      <c r="C830" t="s">
        <v>3131</v>
      </c>
    </row>
    <row r="831" spans="1:4" x14ac:dyDescent="0.25">
      <c r="A831">
        <v>830</v>
      </c>
      <c r="B831">
        <v>830</v>
      </c>
      <c r="C831" t="s">
        <v>3132</v>
      </c>
    </row>
    <row r="832" spans="1:4" x14ac:dyDescent="0.25">
      <c r="A832">
        <v>831</v>
      </c>
      <c r="B832">
        <v>831</v>
      </c>
      <c r="C832" t="s">
        <v>3121</v>
      </c>
    </row>
    <row r="833" spans="1:4" x14ac:dyDescent="0.25">
      <c r="A833">
        <v>832</v>
      </c>
      <c r="B833">
        <v>832</v>
      </c>
      <c r="C833" t="s">
        <v>21</v>
      </c>
    </row>
    <row r="834" spans="1:4" x14ac:dyDescent="0.25">
      <c r="A834">
        <v>833</v>
      </c>
      <c r="B834">
        <v>833</v>
      </c>
    </row>
    <row r="835" spans="1:4" x14ac:dyDescent="0.25">
      <c r="A835">
        <v>834</v>
      </c>
      <c r="B835">
        <v>834</v>
      </c>
    </row>
    <row r="836" spans="1:4" x14ac:dyDescent="0.25">
      <c r="A836">
        <v>835</v>
      </c>
      <c r="B836">
        <v>835</v>
      </c>
    </row>
    <row r="837" spans="1:4" x14ac:dyDescent="0.25">
      <c r="A837">
        <v>836</v>
      </c>
      <c r="B837">
        <v>836</v>
      </c>
    </row>
    <row r="838" spans="1:4" x14ac:dyDescent="0.25">
      <c r="A838">
        <v>837</v>
      </c>
      <c r="B838">
        <v>837</v>
      </c>
      <c r="C838" t="s">
        <v>2873</v>
      </c>
    </row>
    <row r="839" spans="1:4" x14ac:dyDescent="0.25">
      <c r="A839">
        <v>838</v>
      </c>
      <c r="B839">
        <v>838</v>
      </c>
    </row>
    <row r="840" spans="1:4" x14ac:dyDescent="0.25">
      <c r="A840">
        <v>839</v>
      </c>
      <c r="B840">
        <v>839</v>
      </c>
      <c r="C840" t="s">
        <v>2643</v>
      </c>
      <c r="D840" t="s">
        <v>2644</v>
      </c>
    </row>
    <row r="841" spans="1:4" x14ac:dyDescent="0.25">
      <c r="A841">
        <v>840</v>
      </c>
      <c r="B841">
        <v>840</v>
      </c>
    </row>
    <row r="842" spans="1:4" x14ac:dyDescent="0.25">
      <c r="A842">
        <v>841</v>
      </c>
      <c r="B842">
        <v>841</v>
      </c>
      <c r="C842" t="s">
        <v>2645</v>
      </c>
    </row>
    <row r="843" spans="1:4" x14ac:dyDescent="0.25">
      <c r="A843">
        <v>842</v>
      </c>
      <c r="B843">
        <v>842</v>
      </c>
      <c r="C843" t="s">
        <v>2646</v>
      </c>
    </row>
    <row r="844" spans="1:4" x14ac:dyDescent="0.25">
      <c r="A844">
        <v>843</v>
      </c>
      <c r="B844">
        <v>843</v>
      </c>
      <c r="C844" t="s">
        <v>2647</v>
      </c>
    </row>
    <row r="845" spans="1:4" x14ac:dyDescent="0.25">
      <c r="A845">
        <v>844</v>
      </c>
      <c r="B845">
        <v>844</v>
      </c>
    </row>
    <row r="846" spans="1:4" x14ac:dyDescent="0.25">
      <c r="A846">
        <v>845</v>
      </c>
      <c r="B846">
        <v>845</v>
      </c>
      <c r="C846" t="s">
        <v>3133</v>
      </c>
    </row>
    <row r="847" spans="1:4" x14ac:dyDescent="0.25">
      <c r="A847">
        <v>846</v>
      </c>
      <c r="B847">
        <v>846</v>
      </c>
      <c r="C847" t="s">
        <v>3134</v>
      </c>
    </row>
    <row r="848" spans="1:4" x14ac:dyDescent="0.25">
      <c r="A848">
        <v>847</v>
      </c>
      <c r="B848">
        <v>847</v>
      </c>
      <c r="C848" t="s">
        <v>3135</v>
      </c>
    </row>
    <row r="849" spans="1:4" x14ac:dyDescent="0.25">
      <c r="A849">
        <v>848</v>
      </c>
      <c r="B849">
        <v>848</v>
      </c>
      <c r="C849" t="s">
        <v>3136</v>
      </c>
    </row>
    <row r="850" spans="1:4" x14ac:dyDescent="0.25">
      <c r="A850">
        <v>849</v>
      </c>
      <c r="B850">
        <v>849</v>
      </c>
      <c r="C850" t="s">
        <v>3137</v>
      </c>
    </row>
    <row r="851" spans="1:4" x14ac:dyDescent="0.25">
      <c r="A851">
        <v>850</v>
      </c>
      <c r="B851">
        <v>850</v>
      </c>
      <c r="C851" t="s">
        <v>3138</v>
      </c>
    </row>
    <row r="852" spans="1:4" x14ac:dyDescent="0.25">
      <c r="A852">
        <v>851</v>
      </c>
      <c r="B852">
        <v>851</v>
      </c>
      <c r="C852" t="s">
        <v>3139</v>
      </c>
    </row>
    <row r="853" spans="1:4" x14ac:dyDescent="0.25">
      <c r="A853">
        <v>852</v>
      </c>
      <c r="B853">
        <v>852</v>
      </c>
      <c r="C853" t="s">
        <v>3140</v>
      </c>
    </row>
    <row r="854" spans="1:4" x14ac:dyDescent="0.25">
      <c r="A854">
        <v>853</v>
      </c>
      <c r="B854">
        <v>853</v>
      </c>
      <c r="C854" t="s">
        <v>3141</v>
      </c>
    </row>
    <row r="855" spans="1:4" x14ac:dyDescent="0.25">
      <c r="A855">
        <v>854</v>
      </c>
      <c r="B855">
        <v>854</v>
      </c>
      <c r="C855" t="s">
        <v>3142</v>
      </c>
    </row>
    <row r="856" spans="1:4" x14ac:dyDescent="0.25">
      <c r="A856">
        <v>855</v>
      </c>
      <c r="B856">
        <v>855</v>
      </c>
      <c r="C856" t="s">
        <v>3143</v>
      </c>
    </row>
    <row r="857" spans="1:4" x14ac:dyDescent="0.25">
      <c r="A857">
        <v>856</v>
      </c>
      <c r="B857">
        <v>856</v>
      </c>
      <c r="C857" t="s">
        <v>3144</v>
      </c>
    </row>
    <row r="858" spans="1:4" x14ac:dyDescent="0.25">
      <c r="A858">
        <v>857</v>
      </c>
      <c r="B858">
        <v>857</v>
      </c>
      <c r="C858" t="s">
        <v>3145</v>
      </c>
    </row>
    <row r="859" spans="1:4" x14ac:dyDescent="0.25">
      <c r="A859">
        <v>858</v>
      </c>
      <c r="B859">
        <v>858</v>
      </c>
      <c r="C859" t="s">
        <v>3146</v>
      </c>
    </row>
    <row r="860" spans="1:4" x14ac:dyDescent="0.25">
      <c r="A860">
        <v>859</v>
      </c>
      <c r="B860">
        <v>859</v>
      </c>
      <c r="C860" t="s">
        <v>3147</v>
      </c>
    </row>
    <row r="861" spans="1:4" x14ac:dyDescent="0.25">
      <c r="A861">
        <v>860</v>
      </c>
      <c r="B861">
        <v>860</v>
      </c>
      <c r="C861" t="s">
        <v>3148</v>
      </c>
      <c r="D861" t="s">
        <v>3149</v>
      </c>
    </row>
    <row r="862" spans="1:4" x14ac:dyDescent="0.25">
      <c r="A862">
        <v>861</v>
      </c>
      <c r="B862">
        <v>861</v>
      </c>
      <c r="C862" t="s">
        <v>3150</v>
      </c>
      <c r="D862" t="s">
        <v>3151</v>
      </c>
    </row>
    <row r="863" spans="1:4" x14ac:dyDescent="0.25">
      <c r="A863">
        <v>862</v>
      </c>
      <c r="B863">
        <v>862</v>
      </c>
      <c r="C863" t="s">
        <v>3152</v>
      </c>
    </row>
    <row r="864" spans="1:4" x14ac:dyDescent="0.25">
      <c r="A864">
        <v>863</v>
      </c>
      <c r="B864">
        <v>863</v>
      </c>
      <c r="C864" t="s">
        <v>3153</v>
      </c>
    </row>
    <row r="865" spans="1:3" x14ac:dyDescent="0.25">
      <c r="A865">
        <v>864</v>
      </c>
      <c r="B865">
        <v>864</v>
      </c>
      <c r="C865" t="s">
        <v>3154</v>
      </c>
    </row>
    <row r="866" spans="1:3" x14ac:dyDescent="0.25">
      <c r="A866">
        <v>865</v>
      </c>
      <c r="B866">
        <v>865</v>
      </c>
      <c r="C866" t="s">
        <v>3155</v>
      </c>
    </row>
    <row r="867" spans="1:3" x14ac:dyDescent="0.25">
      <c r="A867">
        <v>866</v>
      </c>
      <c r="B867">
        <v>866</v>
      </c>
    </row>
    <row r="868" spans="1:3" x14ac:dyDescent="0.25">
      <c r="A868">
        <v>867</v>
      </c>
      <c r="B868">
        <v>867</v>
      </c>
    </row>
    <row r="869" spans="1:3" x14ac:dyDescent="0.25">
      <c r="A869">
        <v>868</v>
      </c>
      <c r="B869">
        <v>868</v>
      </c>
    </row>
    <row r="870" spans="1:3" x14ac:dyDescent="0.25">
      <c r="A870">
        <v>869</v>
      </c>
      <c r="B870">
        <v>869</v>
      </c>
      <c r="C870" t="s">
        <v>3156</v>
      </c>
    </row>
    <row r="871" spans="1:3" x14ac:dyDescent="0.25">
      <c r="A871">
        <v>870</v>
      </c>
      <c r="B871">
        <v>870</v>
      </c>
      <c r="C871" t="s">
        <v>3157</v>
      </c>
    </row>
    <row r="872" spans="1:3" x14ac:dyDescent="0.25">
      <c r="A872">
        <v>871</v>
      </c>
      <c r="B872">
        <v>871</v>
      </c>
      <c r="C872" t="s">
        <v>3138</v>
      </c>
    </row>
    <row r="873" spans="1:3" x14ac:dyDescent="0.25">
      <c r="A873">
        <v>872</v>
      </c>
      <c r="B873">
        <v>872</v>
      </c>
      <c r="C873" t="s">
        <v>3139</v>
      </c>
    </row>
    <row r="874" spans="1:3" x14ac:dyDescent="0.25">
      <c r="A874">
        <v>873</v>
      </c>
      <c r="B874">
        <v>873</v>
      </c>
      <c r="C874" t="s">
        <v>3140</v>
      </c>
    </row>
    <row r="875" spans="1:3" x14ac:dyDescent="0.25">
      <c r="A875">
        <v>874</v>
      </c>
      <c r="B875">
        <v>874</v>
      </c>
      <c r="C875" t="s">
        <v>3141</v>
      </c>
    </row>
    <row r="876" spans="1:3" x14ac:dyDescent="0.25">
      <c r="A876">
        <v>875</v>
      </c>
      <c r="B876">
        <v>875</v>
      </c>
      <c r="C876" t="s">
        <v>3158</v>
      </c>
    </row>
    <row r="877" spans="1:3" x14ac:dyDescent="0.25">
      <c r="A877">
        <v>876</v>
      </c>
      <c r="B877">
        <v>876</v>
      </c>
    </row>
    <row r="878" spans="1:3" x14ac:dyDescent="0.25">
      <c r="A878">
        <v>877</v>
      </c>
      <c r="B878">
        <v>877</v>
      </c>
    </row>
    <row r="879" spans="1:3" x14ac:dyDescent="0.25">
      <c r="A879">
        <v>878</v>
      </c>
      <c r="B879">
        <v>878</v>
      </c>
      <c r="C879" t="s">
        <v>3159</v>
      </c>
    </row>
    <row r="880" spans="1:3" x14ac:dyDescent="0.25">
      <c r="A880">
        <v>879</v>
      </c>
      <c r="B880">
        <v>879</v>
      </c>
      <c r="C880" t="s">
        <v>3160</v>
      </c>
    </row>
    <row r="881" spans="1:4" x14ac:dyDescent="0.25">
      <c r="A881">
        <v>880</v>
      </c>
      <c r="B881">
        <v>880</v>
      </c>
      <c r="C881" t="s">
        <v>3091</v>
      </c>
    </row>
    <row r="882" spans="1:4" x14ac:dyDescent="0.25">
      <c r="A882">
        <v>881</v>
      </c>
      <c r="B882">
        <v>881</v>
      </c>
      <c r="C882" t="s">
        <v>3161</v>
      </c>
    </row>
    <row r="883" spans="1:4" x14ac:dyDescent="0.25">
      <c r="A883">
        <v>882</v>
      </c>
      <c r="B883">
        <v>882</v>
      </c>
      <c r="C883" t="s">
        <v>3162</v>
      </c>
      <c r="D883" t="s">
        <v>3163</v>
      </c>
    </row>
    <row r="884" spans="1:4" x14ac:dyDescent="0.25">
      <c r="A884">
        <v>883</v>
      </c>
      <c r="B884">
        <v>883</v>
      </c>
      <c r="C884" t="s">
        <v>3164</v>
      </c>
    </row>
    <row r="885" spans="1:4" x14ac:dyDescent="0.25">
      <c r="A885">
        <v>884</v>
      </c>
      <c r="B885">
        <v>884</v>
      </c>
      <c r="C885" t="s">
        <v>3165</v>
      </c>
    </row>
    <row r="886" spans="1:4" x14ac:dyDescent="0.25">
      <c r="A886">
        <v>885</v>
      </c>
      <c r="B886">
        <v>885</v>
      </c>
      <c r="C886" t="s">
        <v>3166</v>
      </c>
      <c r="D886" t="s">
        <v>3167</v>
      </c>
    </row>
    <row r="887" spans="1:4" x14ac:dyDescent="0.25">
      <c r="A887">
        <v>886</v>
      </c>
      <c r="B887">
        <v>886</v>
      </c>
      <c r="C887" t="s">
        <v>3168</v>
      </c>
      <c r="D887" t="s">
        <v>3169</v>
      </c>
    </row>
    <row r="888" spans="1:4" x14ac:dyDescent="0.25">
      <c r="A888">
        <v>887</v>
      </c>
      <c r="B888">
        <v>887</v>
      </c>
    </row>
    <row r="889" spans="1:4" x14ac:dyDescent="0.25">
      <c r="A889">
        <v>888</v>
      </c>
      <c r="B889">
        <v>888</v>
      </c>
    </row>
    <row r="890" spans="1:4" x14ac:dyDescent="0.25">
      <c r="A890">
        <v>889</v>
      </c>
      <c r="B890">
        <v>889</v>
      </c>
      <c r="C890" t="s">
        <v>3170</v>
      </c>
    </row>
    <row r="891" spans="1:4" x14ac:dyDescent="0.25">
      <c r="A891">
        <v>890</v>
      </c>
      <c r="B891">
        <v>890</v>
      </c>
      <c r="C891" t="s">
        <v>2388</v>
      </c>
    </row>
    <row r="892" spans="1:4" x14ac:dyDescent="0.25">
      <c r="A892">
        <v>891</v>
      </c>
      <c r="B892">
        <v>891</v>
      </c>
      <c r="C892" t="s">
        <v>298</v>
      </c>
    </row>
    <row r="893" spans="1:4" x14ac:dyDescent="0.25">
      <c r="A893">
        <v>892</v>
      </c>
      <c r="B893">
        <v>892</v>
      </c>
      <c r="C893" t="s">
        <v>3171</v>
      </c>
    </row>
    <row r="894" spans="1:4" x14ac:dyDescent="0.25">
      <c r="A894">
        <v>893</v>
      </c>
      <c r="B894">
        <v>893</v>
      </c>
      <c r="C894" t="s">
        <v>3172</v>
      </c>
    </row>
    <row r="895" spans="1:4" x14ac:dyDescent="0.25">
      <c r="A895">
        <v>894</v>
      </c>
      <c r="B895">
        <v>894</v>
      </c>
      <c r="C895" t="s">
        <v>3173</v>
      </c>
    </row>
    <row r="896" spans="1:4" x14ac:dyDescent="0.25">
      <c r="A896">
        <v>895</v>
      </c>
      <c r="B896">
        <v>895</v>
      </c>
      <c r="C896" t="s">
        <v>3174</v>
      </c>
    </row>
    <row r="897" spans="1:3" x14ac:dyDescent="0.25">
      <c r="A897">
        <v>896</v>
      </c>
      <c r="B897">
        <v>896</v>
      </c>
      <c r="C897" t="s">
        <v>168</v>
      </c>
    </row>
    <row r="898" spans="1:3" x14ac:dyDescent="0.25">
      <c r="A898">
        <v>897</v>
      </c>
      <c r="B898">
        <v>897</v>
      </c>
      <c r="C898" t="s">
        <v>21</v>
      </c>
    </row>
    <row r="899" spans="1:3" x14ac:dyDescent="0.25">
      <c r="A899">
        <v>898</v>
      </c>
      <c r="B899">
        <v>898</v>
      </c>
    </row>
    <row r="900" spans="1:3" x14ac:dyDescent="0.25">
      <c r="A900">
        <v>899</v>
      </c>
      <c r="B900">
        <v>899</v>
      </c>
    </row>
    <row r="901" spans="1:3" x14ac:dyDescent="0.25">
      <c r="A901">
        <v>900</v>
      </c>
      <c r="B901">
        <v>900</v>
      </c>
      <c r="C901" t="s">
        <v>3175</v>
      </c>
    </row>
    <row r="902" spans="1:3" x14ac:dyDescent="0.25">
      <c r="A902">
        <v>901</v>
      </c>
      <c r="B902">
        <v>901</v>
      </c>
      <c r="C902" s="1" t="s">
        <v>3176</v>
      </c>
    </row>
    <row r="903" spans="1:3" x14ac:dyDescent="0.25">
      <c r="A903">
        <v>902</v>
      </c>
      <c r="B903">
        <v>902</v>
      </c>
      <c r="C903" t="s">
        <v>3177</v>
      </c>
    </row>
    <row r="904" spans="1:3" x14ac:dyDescent="0.25">
      <c r="A904">
        <v>903</v>
      </c>
      <c r="B904">
        <v>903</v>
      </c>
      <c r="C904" t="s">
        <v>3178</v>
      </c>
    </row>
    <row r="905" spans="1:3" x14ac:dyDescent="0.25">
      <c r="A905">
        <v>904</v>
      </c>
      <c r="B905">
        <v>904</v>
      </c>
      <c r="C905" t="s">
        <v>3179</v>
      </c>
    </row>
    <row r="906" spans="1:3" x14ac:dyDescent="0.25">
      <c r="A906">
        <v>905</v>
      </c>
      <c r="B906">
        <v>905</v>
      </c>
      <c r="C906" t="s">
        <v>21</v>
      </c>
    </row>
    <row r="907" spans="1:3" x14ac:dyDescent="0.25">
      <c r="A907">
        <v>906</v>
      </c>
      <c r="B907">
        <v>906</v>
      </c>
    </row>
    <row r="908" spans="1:3" x14ac:dyDescent="0.25">
      <c r="A908">
        <v>907</v>
      </c>
      <c r="B908">
        <v>907</v>
      </c>
      <c r="C908" t="s">
        <v>3143</v>
      </c>
    </row>
    <row r="909" spans="1:3" x14ac:dyDescent="0.25">
      <c r="A909">
        <v>908</v>
      </c>
      <c r="B909">
        <v>908</v>
      </c>
      <c r="C909" t="s">
        <v>3180</v>
      </c>
    </row>
    <row r="910" spans="1:3" x14ac:dyDescent="0.25">
      <c r="A910">
        <v>909</v>
      </c>
      <c r="B910">
        <v>909</v>
      </c>
    </row>
    <row r="911" spans="1:3" x14ac:dyDescent="0.25">
      <c r="A911">
        <v>910</v>
      </c>
      <c r="B911">
        <v>910</v>
      </c>
    </row>
    <row r="912" spans="1:3" x14ac:dyDescent="0.25">
      <c r="A912">
        <v>911</v>
      </c>
      <c r="B912">
        <v>911</v>
      </c>
      <c r="C912" t="s">
        <v>891</v>
      </c>
    </row>
    <row r="913" spans="1:3" x14ac:dyDescent="0.25">
      <c r="A913">
        <v>912</v>
      </c>
      <c r="B913">
        <v>912</v>
      </c>
      <c r="C913" t="s">
        <v>883</v>
      </c>
    </row>
    <row r="914" spans="1:3" x14ac:dyDescent="0.25">
      <c r="A914">
        <v>913</v>
      </c>
      <c r="B914">
        <v>913</v>
      </c>
      <c r="C914" t="s">
        <v>884</v>
      </c>
    </row>
    <row r="915" spans="1:3" x14ac:dyDescent="0.25">
      <c r="A915">
        <v>914</v>
      </c>
      <c r="B915">
        <v>914</v>
      </c>
      <c r="C915" t="s">
        <v>892</v>
      </c>
    </row>
    <row r="916" spans="1:3" x14ac:dyDescent="0.25">
      <c r="A916">
        <v>915</v>
      </c>
      <c r="B916">
        <v>915</v>
      </c>
      <c r="C916" t="s">
        <v>168</v>
      </c>
    </row>
    <row r="917" spans="1:3" x14ac:dyDescent="0.25">
      <c r="A917">
        <v>916</v>
      </c>
      <c r="B917">
        <v>916</v>
      </c>
      <c r="C917" t="s">
        <v>886</v>
      </c>
    </row>
    <row r="918" spans="1:3" x14ac:dyDescent="0.25">
      <c r="A918">
        <v>917</v>
      </c>
      <c r="B918">
        <v>917</v>
      </c>
      <c r="C918" t="s">
        <v>893</v>
      </c>
    </row>
    <row r="919" spans="1:3" x14ac:dyDescent="0.25">
      <c r="A919">
        <v>918</v>
      </c>
      <c r="B919">
        <v>918</v>
      </c>
      <c r="C919" t="s">
        <v>583</v>
      </c>
    </row>
    <row r="920" spans="1:3" x14ac:dyDescent="0.25">
      <c r="A920">
        <v>919</v>
      </c>
      <c r="B920">
        <v>919</v>
      </c>
      <c r="C920" t="s">
        <v>888</v>
      </c>
    </row>
    <row r="921" spans="1:3" x14ac:dyDescent="0.25">
      <c r="A921">
        <v>920</v>
      </c>
      <c r="B921">
        <v>920</v>
      </c>
      <c r="C921" t="s">
        <v>894</v>
      </c>
    </row>
    <row r="922" spans="1:3" x14ac:dyDescent="0.25">
      <c r="A922">
        <v>921</v>
      </c>
      <c r="B922">
        <v>921</v>
      </c>
      <c r="C922" t="s">
        <v>890</v>
      </c>
    </row>
    <row r="923" spans="1:3" x14ac:dyDescent="0.25">
      <c r="A923">
        <v>922</v>
      </c>
      <c r="B923">
        <v>922</v>
      </c>
      <c r="C923" t="s">
        <v>21</v>
      </c>
    </row>
    <row r="924" spans="1:3" x14ac:dyDescent="0.25">
      <c r="A924">
        <v>923</v>
      </c>
      <c r="B924">
        <v>923</v>
      </c>
    </row>
    <row r="925" spans="1:3" x14ac:dyDescent="0.25">
      <c r="A925">
        <v>924</v>
      </c>
      <c r="B925">
        <v>924</v>
      </c>
      <c r="C925" t="s">
        <v>1561</v>
      </c>
    </row>
    <row r="926" spans="1:3" x14ac:dyDescent="0.25">
      <c r="A926">
        <v>925</v>
      </c>
      <c r="B926">
        <v>925</v>
      </c>
      <c r="C926" t="s">
        <v>507</v>
      </c>
    </row>
    <row r="927" spans="1:3" x14ac:dyDescent="0.25">
      <c r="A927">
        <v>926</v>
      </c>
      <c r="B927">
        <v>926</v>
      </c>
      <c r="C927" t="s">
        <v>1562</v>
      </c>
    </row>
    <row r="928" spans="1:3" x14ac:dyDescent="0.25">
      <c r="A928">
        <v>927</v>
      </c>
      <c r="B928">
        <v>927</v>
      </c>
      <c r="C928" t="s">
        <v>1563</v>
      </c>
    </row>
    <row r="929" spans="1:3" x14ac:dyDescent="0.25">
      <c r="A929">
        <v>928</v>
      </c>
      <c r="B929">
        <v>928</v>
      </c>
      <c r="C929" t="s">
        <v>1564</v>
      </c>
    </row>
    <row r="930" spans="1:3" x14ac:dyDescent="0.25">
      <c r="A930">
        <v>929</v>
      </c>
      <c r="B930">
        <v>929</v>
      </c>
      <c r="C930" t="s">
        <v>1565</v>
      </c>
    </row>
    <row r="931" spans="1:3" x14ac:dyDescent="0.25">
      <c r="A931">
        <v>930</v>
      </c>
      <c r="B931">
        <v>930</v>
      </c>
      <c r="C931" t="s">
        <v>1566</v>
      </c>
    </row>
    <row r="932" spans="1:3" x14ac:dyDescent="0.25">
      <c r="A932">
        <v>931</v>
      </c>
      <c r="B932">
        <v>931</v>
      </c>
      <c r="C932" t="s">
        <v>1567</v>
      </c>
    </row>
    <row r="933" spans="1:3" x14ac:dyDescent="0.25">
      <c r="A933">
        <v>932</v>
      </c>
      <c r="B933">
        <v>932</v>
      </c>
      <c r="C933" t="s">
        <v>1568</v>
      </c>
    </row>
    <row r="934" spans="1:3" x14ac:dyDescent="0.25">
      <c r="A934">
        <v>933</v>
      </c>
      <c r="B934">
        <v>933</v>
      </c>
      <c r="C934" t="s">
        <v>1569</v>
      </c>
    </row>
    <row r="935" spans="1:3" x14ac:dyDescent="0.25">
      <c r="A935">
        <v>934</v>
      </c>
      <c r="B935">
        <v>934</v>
      </c>
      <c r="C935" t="s">
        <v>1570</v>
      </c>
    </row>
    <row r="936" spans="1:3" x14ac:dyDescent="0.25">
      <c r="A936">
        <v>935</v>
      </c>
      <c r="B936">
        <v>935</v>
      </c>
      <c r="C936" t="s">
        <v>1571</v>
      </c>
    </row>
    <row r="937" spans="1:3" x14ac:dyDescent="0.25">
      <c r="A937">
        <v>936</v>
      </c>
      <c r="B937">
        <v>936</v>
      </c>
      <c r="C937" t="s">
        <v>168</v>
      </c>
    </row>
    <row r="938" spans="1:3" x14ac:dyDescent="0.25">
      <c r="A938">
        <v>937</v>
      </c>
      <c r="B938">
        <v>937</v>
      </c>
      <c r="C938" t="s">
        <v>21</v>
      </c>
    </row>
    <row r="939" spans="1:3" x14ac:dyDescent="0.25">
      <c r="A939">
        <v>938</v>
      </c>
      <c r="B939">
        <v>938</v>
      </c>
    </row>
    <row r="940" spans="1:3" x14ac:dyDescent="0.25">
      <c r="A940">
        <v>939</v>
      </c>
      <c r="B940">
        <v>939</v>
      </c>
      <c r="C940" t="s">
        <v>3181</v>
      </c>
    </row>
    <row r="941" spans="1:3" x14ac:dyDescent="0.25">
      <c r="A941">
        <v>940</v>
      </c>
      <c r="B941">
        <v>940</v>
      </c>
      <c r="C941" t="s">
        <v>507</v>
      </c>
    </row>
    <row r="942" spans="1:3" x14ac:dyDescent="0.25">
      <c r="A942">
        <v>941</v>
      </c>
      <c r="B942">
        <v>941</v>
      </c>
      <c r="C942" t="s">
        <v>3182</v>
      </c>
    </row>
    <row r="943" spans="1:3" x14ac:dyDescent="0.25">
      <c r="A943">
        <v>942</v>
      </c>
      <c r="B943">
        <v>942</v>
      </c>
      <c r="C943" t="s">
        <v>892</v>
      </c>
    </row>
    <row r="944" spans="1:3" x14ac:dyDescent="0.25">
      <c r="A944">
        <v>943</v>
      </c>
      <c r="B944">
        <v>943</v>
      </c>
      <c r="C944" t="s">
        <v>3183</v>
      </c>
    </row>
    <row r="945" spans="1:3" x14ac:dyDescent="0.25">
      <c r="A945">
        <v>944</v>
      </c>
      <c r="B945">
        <v>944</v>
      </c>
      <c r="C945" t="s">
        <v>3184</v>
      </c>
    </row>
    <row r="946" spans="1:3" x14ac:dyDescent="0.25">
      <c r="A946">
        <v>945</v>
      </c>
      <c r="B946">
        <v>945</v>
      </c>
      <c r="C946" t="s">
        <v>168</v>
      </c>
    </row>
    <row r="947" spans="1:3" x14ac:dyDescent="0.25">
      <c r="A947">
        <v>946</v>
      </c>
      <c r="B947">
        <v>946</v>
      </c>
      <c r="C947" t="s">
        <v>21</v>
      </c>
    </row>
    <row r="948" spans="1:3" x14ac:dyDescent="0.25">
      <c r="A948">
        <v>947</v>
      </c>
      <c r="B948">
        <v>947</v>
      </c>
    </row>
    <row r="949" spans="1:3" x14ac:dyDescent="0.25">
      <c r="A949">
        <v>948</v>
      </c>
      <c r="B949">
        <v>948</v>
      </c>
      <c r="C949" t="s">
        <v>3185</v>
      </c>
    </row>
    <row r="950" spans="1:3" x14ac:dyDescent="0.25">
      <c r="A950">
        <v>949</v>
      </c>
      <c r="B950">
        <v>949</v>
      </c>
      <c r="C950" t="s">
        <v>3186</v>
      </c>
    </row>
    <row r="951" spans="1:3" x14ac:dyDescent="0.25">
      <c r="A951">
        <v>950</v>
      </c>
      <c r="B951">
        <v>950</v>
      </c>
      <c r="C951" t="s">
        <v>3187</v>
      </c>
    </row>
    <row r="952" spans="1:3" x14ac:dyDescent="0.25">
      <c r="A952">
        <v>951</v>
      </c>
      <c r="B952">
        <v>951</v>
      </c>
      <c r="C952" t="s">
        <v>3188</v>
      </c>
    </row>
    <row r="953" spans="1:3" x14ac:dyDescent="0.25">
      <c r="A953">
        <v>952</v>
      </c>
      <c r="B953">
        <v>952</v>
      </c>
      <c r="C953" t="s">
        <v>3189</v>
      </c>
    </row>
    <row r="954" spans="1:3" x14ac:dyDescent="0.25">
      <c r="A954">
        <v>953</v>
      </c>
      <c r="B954">
        <v>953</v>
      </c>
      <c r="C954" t="s">
        <v>3190</v>
      </c>
    </row>
    <row r="955" spans="1:3" x14ac:dyDescent="0.25">
      <c r="A955">
        <v>954</v>
      </c>
      <c r="B955">
        <v>954</v>
      </c>
      <c r="C955" t="s">
        <v>3045</v>
      </c>
    </row>
    <row r="956" spans="1:3" x14ac:dyDescent="0.25">
      <c r="A956">
        <v>955</v>
      </c>
      <c r="B956">
        <v>955</v>
      </c>
    </row>
    <row r="957" spans="1:3" x14ac:dyDescent="0.25">
      <c r="A957">
        <v>956</v>
      </c>
      <c r="B957">
        <v>956</v>
      </c>
      <c r="C957" t="s">
        <v>3191</v>
      </c>
    </row>
    <row r="958" spans="1:3" x14ac:dyDescent="0.25">
      <c r="A958">
        <v>957</v>
      </c>
      <c r="B958">
        <v>957</v>
      </c>
      <c r="C958" t="s">
        <v>3192</v>
      </c>
    </row>
    <row r="959" spans="1:3" x14ac:dyDescent="0.25">
      <c r="A959">
        <v>958</v>
      </c>
      <c r="B959">
        <v>958</v>
      </c>
      <c r="C959" t="s">
        <v>3193</v>
      </c>
    </row>
    <row r="960" spans="1:3" x14ac:dyDescent="0.25">
      <c r="A960">
        <v>959</v>
      </c>
      <c r="B960">
        <v>959</v>
      </c>
      <c r="C960" t="s">
        <v>3194</v>
      </c>
    </row>
    <row r="961" spans="1:3" x14ac:dyDescent="0.25">
      <c r="A961">
        <v>960</v>
      </c>
      <c r="B961">
        <v>960</v>
      </c>
      <c r="C961" t="s">
        <v>3195</v>
      </c>
    </row>
    <row r="962" spans="1:3" x14ac:dyDescent="0.25">
      <c r="A962">
        <v>961</v>
      </c>
      <c r="B962">
        <v>961</v>
      </c>
    </row>
    <row r="963" spans="1:3" x14ac:dyDescent="0.25">
      <c r="A963">
        <v>962</v>
      </c>
      <c r="B963">
        <v>962</v>
      </c>
      <c r="C963" t="s">
        <v>3196</v>
      </c>
    </row>
    <row r="964" spans="1:3" x14ac:dyDescent="0.25">
      <c r="A964">
        <v>963</v>
      </c>
      <c r="B964">
        <v>963</v>
      </c>
      <c r="C964" t="s">
        <v>3197</v>
      </c>
    </row>
    <row r="965" spans="1:3" x14ac:dyDescent="0.25">
      <c r="A965">
        <v>964</v>
      </c>
      <c r="B965">
        <v>964</v>
      </c>
      <c r="C965" t="s">
        <v>3198</v>
      </c>
    </row>
    <row r="966" spans="1:3" x14ac:dyDescent="0.25">
      <c r="A966">
        <v>965</v>
      </c>
      <c r="B966">
        <v>965</v>
      </c>
    </row>
    <row r="967" spans="1:3" x14ac:dyDescent="0.25">
      <c r="A967">
        <v>966</v>
      </c>
      <c r="B967">
        <v>966</v>
      </c>
    </row>
    <row r="968" spans="1:3" x14ac:dyDescent="0.25">
      <c r="A968">
        <v>967</v>
      </c>
      <c r="B968">
        <v>967</v>
      </c>
      <c r="C968" t="s">
        <v>3199</v>
      </c>
    </row>
    <row r="969" spans="1:3" x14ac:dyDescent="0.25">
      <c r="A969">
        <v>968</v>
      </c>
      <c r="B969">
        <v>968</v>
      </c>
      <c r="C969" t="s">
        <v>3200</v>
      </c>
    </row>
    <row r="970" spans="1:3" x14ac:dyDescent="0.25">
      <c r="A970">
        <v>969</v>
      </c>
      <c r="B970">
        <v>969</v>
      </c>
      <c r="C970" t="s">
        <v>3201</v>
      </c>
    </row>
    <row r="971" spans="1:3" x14ac:dyDescent="0.25">
      <c r="A971">
        <v>970</v>
      </c>
      <c r="B971">
        <v>970</v>
      </c>
      <c r="C971" t="s">
        <v>3202</v>
      </c>
    </row>
    <row r="972" spans="1:3" x14ac:dyDescent="0.25">
      <c r="A972">
        <v>971</v>
      </c>
      <c r="B972">
        <v>971</v>
      </c>
      <c r="C972" t="s">
        <v>3203</v>
      </c>
    </row>
    <row r="973" spans="1:3" x14ac:dyDescent="0.25">
      <c r="A973">
        <v>972</v>
      </c>
      <c r="B973">
        <v>972</v>
      </c>
      <c r="C973" t="s">
        <v>3204</v>
      </c>
    </row>
    <row r="974" spans="1:3" x14ac:dyDescent="0.25">
      <c r="A974">
        <v>973</v>
      </c>
      <c r="B974">
        <v>973</v>
      </c>
      <c r="C974" t="s">
        <v>3205</v>
      </c>
    </row>
    <row r="975" spans="1:3" x14ac:dyDescent="0.25">
      <c r="A975">
        <v>974</v>
      </c>
      <c r="B975">
        <v>974</v>
      </c>
      <c r="C975" t="s">
        <v>3206</v>
      </c>
    </row>
    <row r="976" spans="1:3" x14ac:dyDescent="0.25">
      <c r="A976">
        <v>975</v>
      </c>
      <c r="B976">
        <v>975</v>
      </c>
    </row>
    <row r="977" spans="1:4" x14ac:dyDescent="0.25">
      <c r="A977">
        <v>976</v>
      </c>
      <c r="B977">
        <v>976</v>
      </c>
    </row>
    <row r="978" spans="1:4" x14ac:dyDescent="0.25">
      <c r="A978">
        <v>977</v>
      </c>
      <c r="B978">
        <v>977</v>
      </c>
      <c r="C978" t="s">
        <v>3207</v>
      </c>
    </row>
    <row r="979" spans="1:4" x14ac:dyDescent="0.25">
      <c r="A979">
        <v>978</v>
      </c>
      <c r="B979">
        <v>978</v>
      </c>
      <c r="C979" t="s">
        <v>3208</v>
      </c>
    </row>
    <row r="980" spans="1:4" x14ac:dyDescent="0.25">
      <c r="A980">
        <v>979</v>
      </c>
      <c r="B980">
        <v>979</v>
      </c>
      <c r="C980" t="s">
        <v>3209</v>
      </c>
      <c r="D980" t="s">
        <v>3210</v>
      </c>
    </row>
    <row r="981" spans="1:4" x14ac:dyDescent="0.25">
      <c r="A981">
        <v>980</v>
      </c>
      <c r="B981">
        <v>980</v>
      </c>
      <c r="C981" t="s">
        <v>3211</v>
      </c>
      <c r="D981" t="s">
        <v>3212</v>
      </c>
    </row>
    <row r="982" spans="1:4" x14ac:dyDescent="0.25">
      <c r="A982">
        <v>981</v>
      </c>
      <c r="B982">
        <v>981</v>
      </c>
      <c r="C982" t="s">
        <v>3213</v>
      </c>
      <c r="D982" t="s">
        <v>3214</v>
      </c>
    </row>
    <row r="983" spans="1:4" x14ac:dyDescent="0.25">
      <c r="A983">
        <v>982</v>
      </c>
      <c r="B983">
        <v>982</v>
      </c>
      <c r="C983" t="s">
        <v>3215</v>
      </c>
      <c r="D983" t="s">
        <v>3216</v>
      </c>
    </row>
    <row r="984" spans="1:4" x14ac:dyDescent="0.25">
      <c r="A984">
        <v>983</v>
      </c>
      <c r="B984">
        <v>983</v>
      </c>
      <c r="C984" t="s">
        <v>3217</v>
      </c>
      <c r="D984" t="s">
        <v>3218</v>
      </c>
    </row>
    <row r="985" spans="1:4" x14ac:dyDescent="0.25">
      <c r="A985">
        <v>984</v>
      </c>
      <c r="B985">
        <v>984</v>
      </c>
      <c r="C985" t="s">
        <v>3219</v>
      </c>
      <c r="D985" t="s">
        <v>3220</v>
      </c>
    </row>
    <row r="986" spans="1:4" x14ac:dyDescent="0.25">
      <c r="A986">
        <v>985</v>
      </c>
      <c r="B986">
        <v>985</v>
      </c>
      <c r="C986" t="s">
        <v>3221</v>
      </c>
      <c r="D986" t="s">
        <v>3222</v>
      </c>
    </row>
    <row r="987" spans="1:4" x14ac:dyDescent="0.25">
      <c r="A987">
        <v>986</v>
      </c>
      <c r="B987">
        <v>986</v>
      </c>
      <c r="C987" t="s">
        <v>3223</v>
      </c>
      <c r="D987" t="s">
        <v>3224</v>
      </c>
    </row>
    <row r="988" spans="1:4" x14ac:dyDescent="0.25">
      <c r="A988">
        <v>987</v>
      </c>
      <c r="B988">
        <v>987</v>
      </c>
      <c r="C988" t="s">
        <v>3225</v>
      </c>
    </row>
    <row r="989" spans="1:4" x14ac:dyDescent="0.25">
      <c r="A989">
        <v>988</v>
      </c>
      <c r="B989">
        <v>988</v>
      </c>
      <c r="C989" t="s">
        <v>3226</v>
      </c>
      <c r="D989" t="s">
        <v>3227</v>
      </c>
    </row>
    <row r="990" spans="1:4" x14ac:dyDescent="0.25">
      <c r="A990">
        <v>989</v>
      </c>
      <c r="B990">
        <v>989</v>
      </c>
      <c r="C990" t="s">
        <v>3228</v>
      </c>
    </row>
    <row r="991" spans="1:4" x14ac:dyDescent="0.25">
      <c r="A991">
        <v>990</v>
      </c>
      <c r="B991">
        <v>990</v>
      </c>
      <c r="C991" t="s">
        <v>3229</v>
      </c>
    </row>
    <row r="992" spans="1:4" x14ac:dyDescent="0.25">
      <c r="A992">
        <v>991</v>
      </c>
      <c r="B992">
        <v>991</v>
      </c>
      <c r="C992" t="s">
        <v>3230</v>
      </c>
    </row>
    <row r="993" spans="1:4" x14ac:dyDescent="0.25">
      <c r="A993">
        <v>992</v>
      </c>
      <c r="B993">
        <v>992</v>
      </c>
    </row>
    <row r="994" spans="1:4" x14ac:dyDescent="0.25">
      <c r="A994">
        <v>993</v>
      </c>
      <c r="B994">
        <v>993</v>
      </c>
      <c r="C994" t="s">
        <v>3231</v>
      </c>
    </row>
    <row r="995" spans="1:4" x14ac:dyDescent="0.25">
      <c r="A995">
        <v>994</v>
      </c>
      <c r="B995">
        <v>994</v>
      </c>
    </row>
    <row r="996" spans="1:4" x14ac:dyDescent="0.25">
      <c r="A996">
        <v>995</v>
      </c>
      <c r="B996">
        <v>995</v>
      </c>
      <c r="C996" t="s">
        <v>3232</v>
      </c>
    </row>
    <row r="997" spans="1:4" x14ac:dyDescent="0.25">
      <c r="A997">
        <v>996</v>
      </c>
      <c r="B997">
        <v>996</v>
      </c>
      <c r="C997" t="s">
        <v>3233</v>
      </c>
    </row>
    <row r="998" spans="1:4" x14ac:dyDescent="0.25">
      <c r="A998">
        <v>997</v>
      </c>
      <c r="B998">
        <v>997</v>
      </c>
      <c r="C998" t="s">
        <v>3232</v>
      </c>
    </row>
    <row r="999" spans="1:4" x14ac:dyDescent="0.25">
      <c r="A999">
        <v>998</v>
      </c>
      <c r="B999">
        <v>998</v>
      </c>
      <c r="C999" t="s">
        <v>3234</v>
      </c>
      <c r="D999" t="s">
        <v>3235</v>
      </c>
    </row>
    <row r="1000" spans="1:4" x14ac:dyDescent="0.25">
      <c r="A1000">
        <v>999</v>
      </c>
      <c r="B1000">
        <v>999</v>
      </c>
      <c r="C1000" t="s">
        <v>3236</v>
      </c>
    </row>
    <row r="1001" spans="1:4" x14ac:dyDescent="0.25">
      <c r="A1001">
        <v>1000</v>
      </c>
      <c r="B1001">
        <v>1000</v>
      </c>
      <c r="C1001" t="s">
        <v>3237</v>
      </c>
    </row>
    <row r="1002" spans="1:4" x14ac:dyDescent="0.25">
      <c r="A1002">
        <v>1001</v>
      </c>
      <c r="B1002">
        <v>1001</v>
      </c>
      <c r="C1002" t="s">
        <v>3238</v>
      </c>
    </row>
    <row r="1003" spans="1:4" x14ac:dyDescent="0.25">
      <c r="A1003">
        <v>1002</v>
      </c>
      <c r="B1003">
        <v>1002</v>
      </c>
      <c r="C1003" t="s">
        <v>3239</v>
      </c>
    </row>
    <row r="1004" spans="1:4" x14ac:dyDescent="0.25">
      <c r="A1004">
        <v>1003</v>
      </c>
      <c r="B1004">
        <v>1003</v>
      </c>
      <c r="C1004" t="s">
        <v>3240</v>
      </c>
    </row>
    <row r="1005" spans="1:4" x14ac:dyDescent="0.25">
      <c r="A1005">
        <v>1004</v>
      </c>
      <c r="B1005">
        <v>1004</v>
      </c>
      <c r="C1005" t="s">
        <v>3241</v>
      </c>
    </row>
    <row r="1006" spans="1:4" x14ac:dyDescent="0.25">
      <c r="A1006">
        <v>1005</v>
      </c>
      <c r="B1006">
        <v>1005</v>
      </c>
      <c r="C1006" t="s">
        <v>3242</v>
      </c>
    </row>
    <row r="1007" spans="1:4" x14ac:dyDescent="0.25">
      <c r="A1007">
        <v>1006</v>
      </c>
      <c r="B1007">
        <v>1006</v>
      </c>
      <c r="C1007" t="s">
        <v>3243</v>
      </c>
    </row>
    <row r="1008" spans="1:4" x14ac:dyDescent="0.25">
      <c r="A1008">
        <v>1007</v>
      </c>
      <c r="B1008">
        <v>1007</v>
      </c>
      <c r="C1008" t="s">
        <v>3244</v>
      </c>
    </row>
    <row r="1009" spans="1:3" x14ac:dyDescent="0.25">
      <c r="A1009">
        <v>1008</v>
      </c>
      <c r="B1009">
        <v>1008</v>
      </c>
      <c r="C1009" t="s">
        <v>3245</v>
      </c>
    </row>
    <row r="1010" spans="1:3" x14ac:dyDescent="0.25">
      <c r="A1010">
        <v>1009</v>
      </c>
      <c r="B1010">
        <v>1009</v>
      </c>
      <c r="C1010" t="s">
        <v>3246</v>
      </c>
    </row>
    <row r="1011" spans="1:3" x14ac:dyDescent="0.25">
      <c r="A1011">
        <v>1010</v>
      </c>
      <c r="B1011">
        <v>1010</v>
      </c>
      <c r="C1011" t="s">
        <v>3247</v>
      </c>
    </row>
    <row r="1012" spans="1:3" x14ac:dyDescent="0.25">
      <c r="A1012">
        <v>1011</v>
      </c>
      <c r="B1012">
        <v>1011</v>
      </c>
      <c r="C1012" t="s">
        <v>3248</v>
      </c>
    </row>
    <row r="1013" spans="1:3" x14ac:dyDescent="0.25">
      <c r="A1013">
        <v>1012</v>
      </c>
      <c r="B1013">
        <v>1012</v>
      </c>
      <c r="C1013" t="s">
        <v>3249</v>
      </c>
    </row>
    <row r="1014" spans="1:3" x14ac:dyDescent="0.25">
      <c r="A1014">
        <v>1013</v>
      </c>
      <c r="B1014">
        <v>1013</v>
      </c>
      <c r="C1014" t="s">
        <v>3250</v>
      </c>
    </row>
    <row r="1015" spans="1:3" x14ac:dyDescent="0.25">
      <c r="A1015">
        <v>1014</v>
      </c>
      <c r="B1015">
        <v>1014</v>
      </c>
      <c r="C1015" t="s">
        <v>3251</v>
      </c>
    </row>
    <row r="1016" spans="1:3" x14ac:dyDescent="0.25">
      <c r="A1016">
        <v>1015</v>
      </c>
      <c r="B1016">
        <v>1015</v>
      </c>
      <c r="C1016" t="s">
        <v>3252</v>
      </c>
    </row>
    <row r="1017" spans="1:3" x14ac:dyDescent="0.25">
      <c r="A1017">
        <v>1016</v>
      </c>
      <c r="B1017">
        <v>1016</v>
      </c>
      <c r="C1017" t="s">
        <v>3253</v>
      </c>
    </row>
    <row r="1018" spans="1:3" x14ac:dyDescent="0.25">
      <c r="A1018">
        <v>1017</v>
      </c>
      <c r="B1018">
        <v>1017</v>
      </c>
      <c r="C1018" t="s">
        <v>3254</v>
      </c>
    </row>
    <row r="1019" spans="1:3" x14ac:dyDescent="0.25">
      <c r="A1019">
        <v>1018</v>
      </c>
      <c r="B1019">
        <v>1018</v>
      </c>
      <c r="C1019" t="s">
        <v>3255</v>
      </c>
    </row>
    <row r="1020" spans="1:3" x14ac:dyDescent="0.25">
      <c r="A1020">
        <v>1019</v>
      </c>
      <c r="B1020">
        <v>1019</v>
      </c>
      <c r="C1020" t="s">
        <v>3256</v>
      </c>
    </row>
    <row r="1021" spans="1:3" x14ac:dyDescent="0.25">
      <c r="A1021">
        <v>1020</v>
      </c>
      <c r="B1021">
        <v>1020</v>
      </c>
      <c r="C1021" t="s">
        <v>3257</v>
      </c>
    </row>
    <row r="1022" spans="1:3" x14ac:dyDescent="0.25">
      <c r="A1022">
        <v>1021</v>
      </c>
      <c r="B1022">
        <v>1021</v>
      </c>
      <c r="C1022" t="s">
        <v>3258</v>
      </c>
    </row>
    <row r="1023" spans="1:3" x14ac:dyDescent="0.25">
      <c r="A1023">
        <v>1022</v>
      </c>
      <c r="B1023">
        <v>1022</v>
      </c>
      <c r="C1023" t="s">
        <v>3259</v>
      </c>
    </row>
    <row r="1024" spans="1:3" x14ac:dyDescent="0.25">
      <c r="A1024">
        <v>1023</v>
      </c>
      <c r="B1024">
        <v>1023</v>
      </c>
      <c r="C1024" t="s">
        <v>3260</v>
      </c>
    </row>
    <row r="1025" spans="1:4" x14ac:dyDescent="0.25">
      <c r="A1025">
        <v>1024</v>
      </c>
      <c r="B1025">
        <v>1024</v>
      </c>
      <c r="C1025" t="s">
        <v>3261</v>
      </c>
    </row>
    <row r="1026" spans="1:4" x14ac:dyDescent="0.25">
      <c r="A1026">
        <v>1025</v>
      </c>
      <c r="B1026">
        <v>1025</v>
      </c>
      <c r="C1026" t="s">
        <v>3262</v>
      </c>
    </row>
    <row r="1027" spans="1:4" x14ac:dyDescent="0.25">
      <c r="A1027">
        <v>1026</v>
      </c>
      <c r="B1027">
        <v>1026</v>
      </c>
      <c r="C1027" t="s">
        <v>3263</v>
      </c>
    </row>
    <row r="1028" spans="1:4" x14ac:dyDescent="0.25">
      <c r="A1028">
        <v>1027</v>
      </c>
      <c r="B1028">
        <v>1027</v>
      </c>
      <c r="C1028" t="s">
        <v>3243</v>
      </c>
    </row>
    <row r="1029" spans="1:4" x14ac:dyDescent="0.25">
      <c r="A1029">
        <v>1028</v>
      </c>
      <c r="B1029">
        <v>1028</v>
      </c>
      <c r="C1029" t="s">
        <v>3264</v>
      </c>
    </row>
    <row r="1030" spans="1:4" x14ac:dyDescent="0.25">
      <c r="A1030">
        <v>1029</v>
      </c>
      <c r="B1030">
        <v>1029</v>
      </c>
      <c r="C1030" t="s">
        <v>3265</v>
      </c>
    </row>
    <row r="1031" spans="1:4" x14ac:dyDescent="0.25">
      <c r="A1031">
        <v>1030</v>
      </c>
      <c r="B1031">
        <v>1030</v>
      </c>
      <c r="C1031" t="s">
        <v>3266</v>
      </c>
      <c r="D1031" t="s">
        <v>3267</v>
      </c>
    </row>
    <row r="1032" spans="1:4" x14ac:dyDescent="0.25">
      <c r="A1032">
        <v>1031</v>
      </c>
      <c r="B1032">
        <v>1031</v>
      </c>
      <c r="C1032" t="s">
        <v>3268</v>
      </c>
      <c r="D1032" t="s">
        <v>3269</v>
      </c>
    </row>
    <row r="1033" spans="1:4" x14ac:dyDescent="0.25">
      <c r="A1033">
        <v>1032</v>
      </c>
      <c r="B1033">
        <v>1032</v>
      </c>
      <c r="C1033" t="s">
        <v>3270</v>
      </c>
    </row>
    <row r="1034" spans="1:4" x14ac:dyDescent="0.25">
      <c r="A1034">
        <v>1033</v>
      </c>
      <c r="B1034">
        <v>1033</v>
      </c>
      <c r="C1034" t="s">
        <v>3271</v>
      </c>
    </row>
    <row r="1035" spans="1:4" x14ac:dyDescent="0.25">
      <c r="A1035">
        <v>1034</v>
      </c>
      <c r="B1035">
        <v>1034</v>
      </c>
      <c r="C1035" t="s">
        <v>3272</v>
      </c>
    </row>
    <row r="1036" spans="1:4" x14ac:dyDescent="0.25">
      <c r="A1036">
        <v>1035</v>
      </c>
      <c r="B1036">
        <v>1035</v>
      </c>
      <c r="C1036" t="s">
        <v>3273</v>
      </c>
    </row>
    <row r="1037" spans="1:4" x14ac:dyDescent="0.25">
      <c r="A1037">
        <v>1036</v>
      </c>
      <c r="B1037">
        <v>1036</v>
      </c>
      <c r="C1037" t="s">
        <v>3274</v>
      </c>
    </row>
    <row r="1038" spans="1:4" x14ac:dyDescent="0.25">
      <c r="A1038">
        <v>1037</v>
      </c>
      <c r="B1038">
        <v>1037</v>
      </c>
      <c r="C1038" t="s">
        <v>3275</v>
      </c>
    </row>
    <row r="1039" spans="1:4" x14ac:dyDescent="0.25">
      <c r="A1039">
        <v>1038</v>
      </c>
      <c r="B1039">
        <v>1038</v>
      </c>
      <c r="C1039" t="s">
        <v>3276</v>
      </c>
    </row>
    <row r="1040" spans="1:4" x14ac:dyDescent="0.25">
      <c r="A1040">
        <v>1039</v>
      </c>
      <c r="B1040">
        <v>1039</v>
      </c>
      <c r="C1040" t="s">
        <v>3277</v>
      </c>
    </row>
    <row r="1041" spans="1:3" x14ac:dyDescent="0.25">
      <c r="A1041">
        <v>1040</v>
      </c>
      <c r="B1041">
        <v>1040</v>
      </c>
      <c r="C1041" t="s">
        <v>3278</v>
      </c>
    </row>
    <row r="1042" spans="1:3" x14ac:dyDescent="0.25">
      <c r="A1042">
        <v>1041</v>
      </c>
      <c r="B1042">
        <v>1041</v>
      </c>
      <c r="C1042" t="s">
        <v>3279</v>
      </c>
    </row>
    <row r="1043" spans="1:3" x14ac:dyDescent="0.25">
      <c r="A1043">
        <v>1042</v>
      </c>
      <c r="B1043">
        <v>1042</v>
      </c>
      <c r="C1043" t="s">
        <v>3280</v>
      </c>
    </row>
    <row r="1044" spans="1:3" x14ac:dyDescent="0.25">
      <c r="A1044">
        <v>1043</v>
      </c>
      <c r="B1044">
        <v>1043</v>
      </c>
      <c r="C1044" t="s">
        <v>3281</v>
      </c>
    </row>
    <row r="1045" spans="1:3" x14ac:dyDescent="0.25">
      <c r="A1045">
        <v>1044</v>
      </c>
      <c r="B1045">
        <v>1044</v>
      </c>
      <c r="C1045" t="s">
        <v>3282</v>
      </c>
    </row>
    <row r="1046" spans="1:3" x14ac:dyDescent="0.25">
      <c r="A1046">
        <v>1045</v>
      </c>
      <c r="B1046">
        <v>1045</v>
      </c>
      <c r="C1046" t="s">
        <v>3283</v>
      </c>
    </row>
    <row r="1047" spans="1:3" x14ac:dyDescent="0.25">
      <c r="A1047">
        <v>1046</v>
      </c>
      <c r="B1047">
        <v>1046</v>
      </c>
      <c r="C1047" t="s">
        <v>3284</v>
      </c>
    </row>
    <row r="1048" spans="1:3" x14ac:dyDescent="0.25">
      <c r="A1048">
        <v>1047</v>
      </c>
      <c r="B1048">
        <v>1047</v>
      </c>
      <c r="C1048" t="s">
        <v>3285</v>
      </c>
    </row>
    <row r="1049" spans="1:3" x14ac:dyDescent="0.25">
      <c r="A1049">
        <v>1048</v>
      </c>
      <c r="B1049">
        <v>1048</v>
      </c>
      <c r="C1049" t="s">
        <v>3286</v>
      </c>
    </row>
    <row r="1050" spans="1:3" x14ac:dyDescent="0.25">
      <c r="A1050">
        <v>1049</v>
      </c>
      <c r="B1050">
        <v>1049</v>
      </c>
      <c r="C1050" t="s">
        <v>3287</v>
      </c>
    </row>
    <row r="1051" spans="1:3" x14ac:dyDescent="0.25">
      <c r="A1051">
        <v>1050</v>
      </c>
      <c r="B1051">
        <v>1050</v>
      </c>
      <c r="C1051" t="s">
        <v>3288</v>
      </c>
    </row>
    <row r="1052" spans="1:3" x14ac:dyDescent="0.25">
      <c r="A1052">
        <v>1051</v>
      </c>
      <c r="B1052">
        <v>1051</v>
      </c>
      <c r="C1052" t="s">
        <v>3289</v>
      </c>
    </row>
    <row r="1053" spans="1:3" x14ac:dyDescent="0.25">
      <c r="A1053">
        <v>1052</v>
      </c>
      <c r="B1053">
        <v>1052</v>
      </c>
      <c r="C1053" t="s">
        <v>3290</v>
      </c>
    </row>
    <row r="1054" spans="1:3" x14ac:dyDescent="0.25">
      <c r="A1054">
        <v>1053</v>
      </c>
      <c r="B1054">
        <v>1053</v>
      </c>
      <c r="C1054" t="s">
        <v>3291</v>
      </c>
    </row>
    <row r="1055" spans="1:3" x14ac:dyDescent="0.25">
      <c r="A1055">
        <v>1054</v>
      </c>
      <c r="B1055">
        <v>1054</v>
      </c>
      <c r="C1055" t="s">
        <v>3292</v>
      </c>
    </row>
    <row r="1056" spans="1:3" x14ac:dyDescent="0.25">
      <c r="A1056">
        <v>1055</v>
      </c>
      <c r="B1056">
        <v>1055</v>
      </c>
      <c r="C1056" t="s">
        <v>3293</v>
      </c>
    </row>
    <row r="1057" spans="1:4" x14ac:dyDescent="0.25">
      <c r="A1057">
        <v>1056</v>
      </c>
      <c r="B1057">
        <v>1056</v>
      </c>
    </row>
    <row r="1058" spans="1:4" x14ac:dyDescent="0.25">
      <c r="A1058">
        <v>1057</v>
      </c>
      <c r="B1058">
        <v>1057</v>
      </c>
      <c r="C1058" t="s">
        <v>3294</v>
      </c>
    </row>
    <row r="1059" spans="1:4" x14ac:dyDescent="0.25">
      <c r="A1059">
        <v>1058</v>
      </c>
      <c r="B1059">
        <v>1058</v>
      </c>
    </row>
    <row r="1060" spans="1:4" x14ac:dyDescent="0.25">
      <c r="A1060">
        <v>1059</v>
      </c>
      <c r="B1060">
        <v>1059</v>
      </c>
      <c r="C1060" t="s">
        <v>2873</v>
      </c>
    </row>
    <row r="1061" spans="1:4" x14ac:dyDescent="0.25">
      <c r="A1061">
        <v>1060</v>
      </c>
      <c r="B1061">
        <v>1060</v>
      </c>
    </row>
    <row r="1062" spans="1:4" x14ac:dyDescent="0.25">
      <c r="A1062">
        <v>1061</v>
      </c>
      <c r="B1062">
        <v>1061</v>
      </c>
      <c r="C1062" t="s">
        <v>2643</v>
      </c>
      <c r="D1062" t="s">
        <v>2644</v>
      </c>
    </row>
    <row r="1063" spans="1:4" x14ac:dyDescent="0.25">
      <c r="A1063">
        <v>1062</v>
      </c>
      <c r="B1063">
        <v>1062</v>
      </c>
    </row>
    <row r="1064" spans="1:4" x14ac:dyDescent="0.25">
      <c r="A1064">
        <v>1063</v>
      </c>
      <c r="B1064">
        <v>1063</v>
      </c>
      <c r="C1064" t="s">
        <v>2645</v>
      </c>
    </row>
    <row r="1065" spans="1:4" x14ac:dyDescent="0.25">
      <c r="A1065">
        <v>1064</v>
      </c>
      <c r="B1065">
        <v>1064</v>
      </c>
      <c r="C1065" t="s">
        <v>2646</v>
      </c>
    </row>
    <row r="1066" spans="1:4" x14ac:dyDescent="0.25">
      <c r="A1066">
        <v>1065</v>
      </c>
      <c r="B1066">
        <v>1065</v>
      </c>
      <c r="C1066" t="s">
        <v>2647</v>
      </c>
    </row>
    <row r="1067" spans="1:4" x14ac:dyDescent="0.25">
      <c r="A1067">
        <v>1066</v>
      </c>
      <c r="B1067">
        <v>1066</v>
      </c>
    </row>
    <row r="1068" spans="1:4" x14ac:dyDescent="0.25">
      <c r="A1068">
        <v>1067</v>
      </c>
      <c r="B1068">
        <v>1067</v>
      </c>
      <c r="C1068" t="s">
        <v>3295</v>
      </c>
    </row>
    <row r="1069" spans="1:4" x14ac:dyDescent="0.25">
      <c r="A1069">
        <v>1068</v>
      </c>
      <c r="B1069">
        <v>1068</v>
      </c>
      <c r="C1069" s="1" t="s">
        <v>3296</v>
      </c>
    </row>
    <row r="1070" spans="1:4" x14ac:dyDescent="0.25">
      <c r="A1070">
        <v>1069</v>
      </c>
      <c r="B1070">
        <v>1069</v>
      </c>
      <c r="C1070" t="s">
        <v>3297</v>
      </c>
    </row>
    <row r="1071" spans="1:4" x14ac:dyDescent="0.25">
      <c r="A1071">
        <v>1070</v>
      </c>
      <c r="B1071">
        <v>1070</v>
      </c>
      <c r="C1071" t="s">
        <v>862</v>
      </c>
    </row>
    <row r="1072" spans="1:4" x14ac:dyDescent="0.25">
      <c r="A1072">
        <v>1071</v>
      </c>
      <c r="B1072">
        <v>1071</v>
      </c>
      <c r="C1072" s="1" t="s">
        <v>3298</v>
      </c>
    </row>
    <row r="1073" spans="1:4" x14ac:dyDescent="0.25">
      <c r="A1073">
        <v>1072</v>
      </c>
      <c r="B1073">
        <v>1072</v>
      </c>
      <c r="C1073" t="s">
        <v>3299</v>
      </c>
      <c r="D1073" t="s">
        <v>3300</v>
      </c>
    </row>
    <row r="1074" spans="1:4" x14ac:dyDescent="0.25">
      <c r="A1074">
        <v>1073</v>
      </c>
      <c r="B1074">
        <v>1073</v>
      </c>
      <c r="C1074" t="s">
        <v>3301</v>
      </c>
    </row>
    <row r="1075" spans="1:4" x14ac:dyDescent="0.25">
      <c r="A1075">
        <v>1074</v>
      </c>
      <c r="B1075">
        <v>1074</v>
      </c>
      <c r="C1075" t="s">
        <v>3302</v>
      </c>
    </row>
    <row r="1076" spans="1:4" x14ac:dyDescent="0.25">
      <c r="A1076">
        <v>1075</v>
      </c>
      <c r="B1076">
        <v>1075</v>
      </c>
      <c r="C1076" t="s">
        <v>3303</v>
      </c>
    </row>
    <row r="1077" spans="1:4" x14ac:dyDescent="0.25">
      <c r="A1077">
        <v>1076</v>
      </c>
      <c r="B1077">
        <v>1076</v>
      </c>
      <c r="C1077" t="s">
        <v>3304</v>
      </c>
    </row>
    <row r="1078" spans="1:4" x14ac:dyDescent="0.25">
      <c r="A1078">
        <v>1077</v>
      </c>
      <c r="B1078">
        <v>1077</v>
      </c>
      <c r="C1078" t="s">
        <v>3305</v>
      </c>
    </row>
    <row r="1079" spans="1:4" x14ac:dyDescent="0.25">
      <c r="A1079">
        <v>1078</v>
      </c>
      <c r="B1079">
        <v>1078</v>
      </c>
      <c r="C1079" t="s">
        <v>3306</v>
      </c>
    </row>
    <row r="1080" spans="1:4" x14ac:dyDescent="0.25">
      <c r="A1080">
        <v>1079</v>
      </c>
      <c r="B1080">
        <v>1079</v>
      </c>
      <c r="C1080" t="s">
        <v>3307</v>
      </c>
    </row>
    <row r="1081" spans="1:4" x14ac:dyDescent="0.25">
      <c r="A1081">
        <v>1080</v>
      </c>
      <c r="B1081">
        <v>1080</v>
      </c>
      <c r="C1081" t="s">
        <v>3308</v>
      </c>
    </row>
    <row r="1082" spans="1:4" x14ac:dyDescent="0.25">
      <c r="A1082">
        <v>1081</v>
      </c>
      <c r="B1082">
        <v>1081</v>
      </c>
      <c r="C1082" t="s">
        <v>262</v>
      </c>
    </row>
    <row r="1083" spans="1:4" x14ac:dyDescent="0.25">
      <c r="A1083">
        <v>1082</v>
      </c>
      <c r="B1083">
        <v>1082</v>
      </c>
      <c r="C1083" t="s">
        <v>21</v>
      </c>
    </row>
    <row r="1084" spans="1:4" x14ac:dyDescent="0.25">
      <c r="A1084">
        <v>1083</v>
      </c>
      <c r="B1084">
        <v>1083</v>
      </c>
    </row>
    <row r="1085" spans="1:4" x14ac:dyDescent="0.25">
      <c r="A1085">
        <v>1084</v>
      </c>
      <c r="B1085">
        <v>1084</v>
      </c>
      <c r="C1085" t="s">
        <v>3309</v>
      </c>
    </row>
    <row r="1086" spans="1:4" x14ac:dyDescent="0.25">
      <c r="A1086">
        <v>1085</v>
      </c>
      <c r="B1086">
        <v>1085</v>
      </c>
      <c r="C1086" s="1" t="s">
        <v>3310</v>
      </c>
    </row>
    <row r="1087" spans="1:4" x14ac:dyDescent="0.25">
      <c r="A1087">
        <v>1086</v>
      </c>
      <c r="B1087">
        <v>1086</v>
      </c>
      <c r="C1087" t="s">
        <v>3311</v>
      </c>
    </row>
    <row r="1088" spans="1:4" x14ac:dyDescent="0.25">
      <c r="A1088">
        <v>1087</v>
      </c>
      <c r="B1088">
        <v>1087</v>
      </c>
      <c r="C1088" t="s">
        <v>3312</v>
      </c>
    </row>
    <row r="1089" spans="1:3" x14ac:dyDescent="0.25">
      <c r="A1089">
        <v>1088</v>
      </c>
      <c r="B1089">
        <v>1088</v>
      </c>
      <c r="C1089" s="1" t="s">
        <v>3313</v>
      </c>
    </row>
    <row r="1090" spans="1:3" x14ac:dyDescent="0.25">
      <c r="A1090">
        <v>1089</v>
      </c>
      <c r="B1090">
        <v>1089</v>
      </c>
      <c r="C1090" t="s">
        <v>3314</v>
      </c>
    </row>
    <row r="1091" spans="1:3" x14ac:dyDescent="0.25">
      <c r="A1091">
        <v>1090</v>
      </c>
      <c r="B1091">
        <v>1090</v>
      </c>
      <c r="C1091" s="1" t="s">
        <v>3315</v>
      </c>
    </row>
    <row r="1092" spans="1:3" x14ac:dyDescent="0.25">
      <c r="A1092">
        <v>1091</v>
      </c>
      <c r="B1092">
        <v>1091</v>
      </c>
      <c r="C1092" t="s">
        <v>3316</v>
      </c>
    </row>
    <row r="1093" spans="1:3" x14ac:dyDescent="0.25">
      <c r="A1093">
        <v>1092</v>
      </c>
      <c r="B1093">
        <v>1092</v>
      </c>
      <c r="C1093" t="s">
        <v>209</v>
      </c>
    </row>
    <row r="1094" spans="1:3" x14ac:dyDescent="0.25">
      <c r="A1094">
        <v>1093</v>
      </c>
      <c r="B1094">
        <v>1093</v>
      </c>
      <c r="C1094" s="1" t="s">
        <v>3317</v>
      </c>
    </row>
    <row r="1095" spans="1:3" x14ac:dyDescent="0.25">
      <c r="A1095">
        <v>1094</v>
      </c>
      <c r="B1095">
        <v>1094</v>
      </c>
      <c r="C1095" t="s">
        <v>3318</v>
      </c>
    </row>
    <row r="1096" spans="1:3" x14ac:dyDescent="0.25">
      <c r="A1096">
        <v>1095</v>
      </c>
      <c r="B1096">
        <v>1095</v>
      </c>
      <c r="C1096" t="s">
        <v>3319</v>
      </c>
    </row>
    <row r="1097" spans="1:3" x14ac:dyDescent="0.25">
      <c r="A1097">
        <v>1096</v>
      </c>
      <c r="B1097">
        <v>1096</v>
      </c>
      <c r="C1097" t="s">
        <v>3320</v>
      </c>
    </row>
    <row r="1098" spans="1:3" x14ac:dyDescent="0.25">
      <c r="A1098">
        <v>1097</v>
      </c>
      <c r="B1098">
        <v>1097</v>
      </c>
      <c r="C1098" t="s">
        <v>3321</v>
      </c>
    </row>
    <row r="1099" spans="1:3" x14ac:dyDescent="0.25">
      <c r="A1099">
        <v>1098</v>
      </c>
      <c r="B1099">
        <v>1098</v>
      </c>
      <c r="C1099" t="s">
        <v>3322</v>
      </c>
    </row>
    <row r="1100" spans="1:3" x14ac:dyDescent="0.25">
      <c r="A1100">
        <v>1099</v>
      </c>
      <c r="B1100">
        <v>1099</v>
      </c>
      <c r="C1100" t="s">
        <v>2315</v>
      </c>
    </row>
    <row r="1101" spans="1:3" x14ac:dyDescent="0.25">
      <c r="A1101">
        <v>1100</v>
      </c>
      <c r="B1101">
        <v>1100</v>
      </c>
      <c r="C1101" t="s">
        <v>3323</v>
      </c>
    </row>
    <row r="1102" spans="1:3" x14ac:dyDescent="0.25">
      <c r="A1102">
        <v>1101</v>
      </c>
      <c r="B1102">
        <v>1101</v>
      </c>
      <c r="C1102" t="s">
        <v>21</v>
      </c>
    </row>
    <row r="1103" spans="1:3" x14ac:dyDescent="0.25">
      <c r="A1103">
        <v>1102</v>
      </c>
      <c r="B1103">
        <v>1102</v>
      </c>
    </row>
    <row r="1104" spans="1:3" x14ac:dyDescent="0.25">
      <c r="A1104">
        <v>1103</v>
      </c>
      <c r="B1104">
        <v>1103</v>
      </c>
      <c r="C1104" t="s">
        <v>3324</v>
      </c>
    </row>
    <row r="1105" spans="1:3" x14ac:dyDescent="0.25">
      <c r="A1105">
        <v>1104</v>
      </c>
      <c r="B1105">
        <v>1104</v>
      </c>
      <c r="C1105" t="s">
        <v>3325</v>
      </c>
    </row>
    <row r="1106" spans="1:3" x14ac:dyDescent="0.25">
      <c r="A1106">
        <v>1105</v>
      </c>
      <c r="B1106">
        <v>1105</v>
      </c>
      <c r="C1106" t="s">
        <v>3326</v>
      </c>
    </row>
    <row r="1107" spans="1:3" x14ac:dyDescent="0.25">
      <c r="A1107">
        <v>1106</v>
      </c>
      <c r="B1107">
        <v>1106</v>
      </c>
      <c r="C1107" t="s">
        <v>3327</v>
      </c>
    </row>
    <row r="1108" spans="1:3" x14ac:dyDescent="0.25">
      <c r="A1108">
        <v>1107</v>
      </c>
      <c r="B1108">
        <v>1107</v>
      </c>
      <c r="C1108" t="s">
        <v>3328</v>
      </c>
    </row>
    <row r="1109" spans="1:3" x14ac:dyDescent="0.25">
      <c r="A1109">
        <v>1108</v>
      </c>
      <c r="B1109">
        <v>1108</v>
      </c>
      <c r="C1109" t="s">
        <v>3329</v>
      </c>
    </row>
    <row r="1110" spans="1:3" x14ac:dyDescent="0.25">
      <c r="A1110">
        <v>1109</v>
      </c>
      <c r="B1110">
        <v>1109</v>
      </c>
      <c r="C1110" t="s">
        <v>1214</v>
      </c>
    </row>
    <row r="1111" spans="1:3" x14ac:dyDescent="0.25">
      <c r="A1111">
        <v>1110</v>
      </c>
      <c r="B1111">
        <v>1110</v>
      </c>
      <c r="C1111" t="s">
        <v>3330</v>
      </c>
    </row>
    <row r="1112" spans="1:3" x14ac:dyDescent="0.25">
      <c r="A1112">
        <v>1111</v>
      </c>
      <c r="B1112">
        <v>1111</v>
      </c>
      <c r="C1112" t="s">
        <v>3331</v>
      </c>
    </row>
    <row r="1113" spans="1:3" x14ac:dyDescent="0.25">
      <c r="A1113">
        <v>1112</v>
      </c>
      <c r="B1113">
        <v>1112</v>
      </c>
      <c r="C1113" t="s">
        <v>3332</v>
      </c>
    </row>
    <row r="1114" spans="1:3" x14ac:dyDescent="0.25">
      <c r="A1114">
        <v>1113</v>
      </c>
      <c r="B1114">
        <v>1113</v>
      </c>
      <c r="C1114" t="s">
        <v>1214</v>
      </c>
    </row>
    <row r="1115" spans="1:3" x14ac:dyDescent="0.25">
      <c r="A1115">
        <v>1114</v>
      </c>
      <c r="B1115">
        <v>1114</v>
      </c>
      <c r="C1115" t="s">
        <v>3333</v>
      </c>
    </row>
    <row r="1116" spans="1:3" x14ac:dyDescent="0.25">
      <c r="A1116">
        <v>1115</v>
      </c>
      <c r="B1116">
        <v>1115</v>
      </c>
      <c r="C1116" t="s">
        <v>3334</v>
      </c>
    </row>
    <row r="1117" spans="1:3" x14ac:dyDescent="0.25">
      <c r="A1117">
        <v>1116</v>
      </c>
      <c r="B1117">
        <v>1116</v>
      </c>
      <c r="C1117" t="s">
        <v>3335</v>
      </c>
    </row>
    <row r="1118" spans="1:3" x14ac:dyDescent="0.25">
      <c r="A1118">
        <v>1117</v>
      </c>
      <c r="B1118">
        <v>1117</v>
      </c>
      <c r="C1118" t="s">
        <v>3336</v>
      </c>
    </row>
    <row r="1119" spans="1:3" x14ac:dyDescent="0.25">
      <c r="A1119">
        <v>1118</v>
      </c>
      <c r="B1119">
        <v>1118</v>
      </c>
      <c r="C1119" t="s">
        <v>3337</v>
      </c>
    </row>
    <row r="1120" spans="1:3" x14ac:dyDescent="0.25">
      <c r="A1120">
        <v>1119</v>
      </c>
      <c r="B1120">
        <v>1119</v>
      </c>
      <c r="C1120" t="s">
        <v>3329</v>
      </c>
    </row>
    <row r="1121" spans="1:4" x14ac:dyDescent="0.25">
      <c r="A1121">
        <v>1120</v>
      </c>
      <c r="B1121">
        <v>1120</v>
      </c>
      <c r="C1121" t="s">
        <v>3338</v>
      </c>
    </row>
    <row r="1122" spans="1:4" x14ac:dyDescent="0.25">
      <c r="A1122">
        <v>1121</v>
      </c>
      <c r="B1122">
        <v>1121</v>
      </c>
      <c r="C1122" t="s">
        <v>3339</v>
      </c>
    </row>
    <row r="1123" spans="1:4" x14ac:dyDescent="0.25">
      <c r="A1123">
        <v>1122</v>
      </c>
      <c r="B1123">
        <v>1122</v>
      </c>
      <c r="C1123" t="s">
        <v>3340</v>
      </c>
    </row>
    <row r="1124" spans="1:4" x14ac:dyDescent="0.25">
      <c r="A1124">
        <v>1123</v>
      </c>
      <c r="B1124">
        <v>1123</v>
      </c>
      <c r="C1124" t="s">
        <v>3341</v>
      </c>
    </row>
    <row r="1125" spans="1:4" x14ac:dyDescent="0.25">
      <c r="A1125">
        <v>1124</v>
      </c>
      <c r="B1125">
        <v>1124</v>
      </c>
      <c r="C1125" t="s">
        <v>330</v>
      </c>
    </row>
    <row r="1126" spans="1:4" x14ac:dyDescent="0.25">
      <c r="A1126">
        <v>1125</v>
      </c>
      <c r="B1126">
        <v>1125</v>
      </c>
      <c r="C1126" t="s">
        <v>21</v>
      </c>
    </row>
    <row r="1127" spans="1:4" x14ac:dyDescent="0.25">
      <c r="A1127">
        <v>1126</v>
      </c>
      <c r="B1127">
        <v>1126</v>
      </c>
    </row>
    <row r="1128" spans="1:4" x14ac:dyDescent="0.25">
      <c r="A1128">
        <v>1127</v>
      </c>
      <c r="B1128">
        <v>1127</v>
      </c>
      <c r="C1128" t="s">
        <v>1186</v>
      </c>
    </row>
    <row r="1129" spans="1:4" x14ac:dyDescent="0.25">
      <c r="A1129">
        <v>1128</v>
      </c>
      <c r="B1129">
        <v>1128</v>
      </c>
      <c r="C1129" t="s">
        <v>3342</v>
      </c>
    </row>
    <row r="1130" spans="1:4" x14ac:dyDescent="0.25">
      <c r="A1130">
        <v>1129</v>
      </c>
      <c r="B1130">
        <v>1129</v>
      </c>
      <c r="C1130" t="s">
        <v>3343</v>
      </c>
      <c r="D1130" t="s">
        <v>3344</v>
      </c>
    </row>
    <row r="1131" spans="1:4" x14ac:dyDescent="0.25">
      <c r="A1131">
        <v>1130</v>
      </c>
      <c r="B1131">
        <v>1130</v>
      </c>
      <c r="C1131" t="s">
        <v>21</v>
      </c>
    </row>
    <row r="1132" spans="1:4" x14ac:dyDescent="0.25">
      <c r="A1132">
        <v>1131</v>
      </c>
      <c r="B1132">
        <v>1131</v>
      </c>
    </row>
    <row r="1133" spans="1:4" x14ac:dyDescent="0.25">
      <c r="A1133">
        <v>1132</v>
      </c>
      <c r="B1133">
        <v>1132</v>
      </c>
      <c r="C1133" t="s">
        <v>1186</v>
      </c>
    </row>
    <row r="1134" spans="1:4" x14ac:dyDescent="0.25">
      <c r="A1134">
        <v>1133</v>
      </c>
      <c r="B1134">
        <v>1133</v>
      </c>
      <c r="C1134" t="s">
        <v>494</v>
      </c>
    </row>
    <row r="1135" spans="1:4" x14ac:dyDescent="0.25">
      <c r="A1135">
        <v>1134</v>
      </c>
      <c r="B1135">
        <v>1134</v>
      </c>
      <c r="C1135" s="1" t="s">
        <v>3345</v>
      </c>
      <c r="D1135" t="s">
        <v>3346</v>
      </c>
    </row>
    <row r="1136" spans="1:4" x14ac:dyDescent="0.25">
      <c r="A1136">
        <v>1135</v>
      </c>
      <c r="B1136">
        <v>1135</v>
      </c>
      <c r="C1136" t="s">
        <v>3347</v>
      </c>
    </row>
    <row r="1137" spans="1:4" x14ac:dyDescent="0.25">
      <c r="A1137">
        <v>1136</v>
      </c>
      <c r="B1137">
        <v>1136</v>
      </c>
      <c r="C1137" t="s">
        <v>3343</v>
      </c>
      <c r="D1137" t="s">
        <v>3344</v>
      </c>
    </row>
    <row r="1138" spans="1:4" x14ac:dyDescent="0.25">
      <c r="A1138">
        <v>1137</v>
      </c>
      <c r="B1138">
        <v>1137</v>
      </c>
      <c r="C1138" t="s">
        <v>278</v>
      </c>
    </row>
    <row r="1139" spans="1:4" x14ac:dyDescent="0.25">
      <c r="A1139">
        <v>1138</v>
      </c>
      <c r="B1139">
        <v>1138</v>
      </c>
      <c r="C1139" t="s">
        <v>21</v>
      </c>
    </row>
    <row r="1140" spans="1:4" x14ac:dyDescent="0.25">
      <c r="A1140">
        <v>1139</v>
      </c>
      <c r="B1140">
        <v>1139</v>
      </c>
    </row>
    <row r="1141" spans="1:4" x14ac:dyDescent="0.25">
      <c r="A1141">
        <v>1140</v>
      </c>
      <c r="B1141">
        <v>1140</v>
      </c>
      <c r="C1141" t="s">
        <v>1186</v>
      </c>
    </row>
    <row r="1142" spans="1:4" x14ac:dyDescent="0.25">
      <c r="A1142">
        <v>1141</v>
      </c>
      <c r="B1142">
        <v>1141</v>
      </c>
      <c r="C1142" t="s">
        <v>494</v>
      </c>
    </row>
    <row r="1143" spans="1:4" x14ac:dyDescent="0.25">
      <c r="A1143">
        <v>1142</v>
      </c>
      <c r="B1143">
        <v>1142</v>
      </c>
      <c r="C1143" t="s">
        <v>3348</v>
      </c>
    </row>
    <row r="1144" spans="1:4" x14ac:dyDescent="0.25">
      <c r="A1144">
        <v>1143</v>
      </c>
      <c r="B1144">
        <v>1143</v>
      </c>
      <c r="C1144" s="1" t="s">
        <v>3349</v>
      </c>
      <c r="D1144" t="s">
        <v>3350</v>
      </c>
    </row>
    <row r="1145" spans="1:4" x14ac:dyDescent="0.25">
      <c r="A1145">
        <v>1144</v>
      </c>
      <c r="B1145">
        <v>1144</v>
      </c>
      <c r="C1145" t="s">
        <v>495</v>
      </c>
    </row>
    <row r="1146" spans="1:4" x14ac:dyDescent="0.25">
      <c r="A1146">
        <v>1145</v>
      </c>
      <c r="B1146">
        <v>1145</v>
      </c>
      <c r="C1146" t="s">
        <v>805</v>
      </c>
    </row>
    <row r="1147" spans="1:4" x14ac:dyDescent="0.25">
      <c r="A1147">
        <v>1146</v>
      </c>
      <c r="B1147">
        <v>1146</v>
      </c>
      <c r="C1147" t="s">
        <v>3351</v>
      </c>
      <c r="D1147" t="s">
        <v>3344</v>
      </c>
    </row>
    <row r="1148" spans="1:4" x14ac:dyDescent="0.25">
      <c r="A1148">
        <v>1147</v>
      </c>
      <c r="B1148">
        <v>1147</v>
      </c>
      <c r="C1148" t="s">
        <v>278</v>
      </c>
    </row>
    <row r="1149" spans="1:4" x14ac:dyDescent="0.25">
      <c r="A1149">
        <v>1148</v>
      </c>
      <c r="B1149">
        <v>1148</v>
      </c>
      <c r="C1149" t="s">
        <v>21</v>
      </c>
    </row>
    <row r="1150" spans="1:4" x14ac:dyDescent="0.25">
      <c r="A1150">
        <v>1149</v>
      </c>
      <c r="B1150">
        <v>1149</v>
      </c>
    </row>
    <row r="1151" spans="1:4" x14ac:dyDescent="0.25">
      <c r="A1151">
        <v>1150</v>
      </c>
      <c r="B1151">
        <v>1150</v>
      </c>
    </row>
    <row r="1152" spans="1:4" x14ac:dyDescent="0.25">
      <c r="A1152">
        <v>1151</v>
      </c>
      <c r="B1152">
        <v>1151</v>
      </c>
    </row>
    <row r="1153" spans="1:4" x14ac:dyDescent="0.25">
      <c r="A1153">
        <v>1152</v>
      </c>
      <c r="B1153">
        <v>1152</v>
      </c>
    </row>
    <row r="1154" spans="1:4" x14ac:dyDescent="0.25">
      <c r="A1154">
        <v>1153</v>
      </c>
      <c r="B1154">
        <v>1153</v>
      </c>
    </row>
    <row r="1155" spans="1:4" x14ac:dyDescent="0.25">
      <c r="A1155">
        <v>1154</v>
      </c>
      <c r="B1155">
        <v>1154</v>
      </c>
    </row>
    <row r="1156" spans="1:4" x14ac:dyDescent="0.25">
      <c r="A1156">
        <v>1155</v>
      </c>
      <c r="B1156">
        <v>1155</v>
      </c>
      <c r="C1156" t="s">
        <v>3352</v>
      </c>
      <c r="D1156" t="s">
        <v>3353</v>
      </c>
    </row>
    <row r="1157" spans="1:4" x14ac:dyDescent="0.25">
      <c r="A1157">
        <v>1156</v>
      </c>
      <c r="B1157">
        <v>1156</v>
      </c>
      <c r="C1157" t="s">
        <v>3354</v>
      </c>
    </row>
    <row r="1158" spans="1:4" x14ac:dyDescent="0.25">
      <c r="A1158">
        <v>1157</v>
      </c>
      <c r="B1158">
        <v>1157</v>
      </c>
      <c r="C1158" t="s">
        <v>3355</v>
      </c>
    </row>
    <row r="1159" spans="1:4" x14ac:dyDescent="0.25">
      <c r="A1159">
        <v>1158</v>
      </c>
      <c r="B1159">
        <v>1158</v>
      </c>
      <c r="C1159" t="s">
        <v>3356</v>
      </c>
      <c r="D1159" t="s">
        <v>3357</v>
      </c>
    </row>
    <row r="1160" spans="1:4" x14ac:dyDescent="0.25">
      <c r="A1160">
        <v>1159</v>
      </c>
      <c r="B1160">
        <v>1159</v>
      </c>
      <c r="C1160" t="s">
        <v>3358</v>
      </c>
    </row>
    <row r="1161" spans="1:4" x14ac:dyDescent="0.25">
      <c r="A1161">
        <v>1160</v>
      </c>
      <c r="B1161">
        <v>1160</v>
      </c>
      <c r="C1161" t="s">
        <v>3359</v>
      </c>
      <c r="D1161" t="s">
        <v>3360</v>
      </c>
    </row>
    <row r="1162" spans="1:4" x14ac:dyDescent="0.25">
      <c r="A1162">
        <v>1161</v>
      </c>
      <c r="B1162">
        <v>1161</v>
      </c>
      <c r="C1162" t="s">
        <v>3361</v>
      </c>
      <c r="D1162" t="s">
        <v>3362</v>
      </c>
    </row>
    <row r="1163" spans="1:4" x14ac:dyDescent="0.25">
      <c r="A1163">
        <v>1162</v>
      </c>
      <c r="B1163">
        <v>1162</v>
      </c>
      <c r="C1163" t="s">
        <v>3363</v>
      </c>
    </row>
    <row r="1164" spans="1:4" x14ac:dyDescent="0.25">
      <c r="A1164">
        <v>1163</v>
      </c>
      <c r="B1164">
        <v>1163</v>
      </c>
      <c r="C1164" t="s">
        <v>3364</v>
      </c>
    </row>
    <row r="1165" spans="1:4" x14ac:dyDescent="0.25">
      <c r="A1165">
        <v>1164</v>
      </c>
      <c r="B1165">
        <v>1164</v>
      </c>
      <c r="C1165" t="s">
        <v>3365</v>
      </c>
    </row>
    <row r="1166" spans="1:4" x14ac:dyDescent="0.25">
      <c r="A1166">
        <v>1165</v>
      </c>
      <c r="B1166">
        <v>1165</v>
      </c>
      <c r="C1166" t="s">
        <v>3366</v>
      </c>
      <c r="D1166" t="s">
        <v>3367</v>
      </c>
    </row>
    <row r="1167" spans="1:4" x14ac:dyDescent="0.25">
      <c r="A1167">
        <v>1166</v>
      </c>
      <c r="B1167">
        <v>1166</v>
      </c>
      <c r="C1167" t="s">
        <v>3368</v>
      </c>
      <c r="D1167" t="s">
        <v>3369</v>
      </c>
    </row>
    <row r="1168" spans="1:4" x14ac:dyDescent="0.25">
      <c r="A1168">
        <v>1167</v>
      </c>
      <c r="B1168">
        <v>1167</v>
      </c>
      <c r="C1168" t="s">
        <v>3370</v>
      </c>
    </row>
    <row r="1169" spans="1:4" x14ac:dyDescent="0.25">
      <c r="A1169">
        <v>1168</v>
      </c>
      <c r="B1169">
        <v>1168</v>
      </c>
      <c r="C1169" t="s">
        <v>3371</v>
      </c>
      <c r="D1169" t="s">
        <v>3372</v>
      </c>
    </row>
    <row r="1170" spans="1:4" x14ac:dyDescent="0.25">
      <c r="A1170">
        <v>1169</v>
      </c>
      <c r="B1170">
        <v>1169</v>
      </c>
      <c r="C1170" t="s">
        <v>3373</v>
      </c>
      <c r="D1170" t="s">
        <v>3374</v>
      </c>
    </row>
    <row r="1171" spans="1:4" x14ac:dyDescent="0.25">
      <c r="A1171">
        <v>1170</v>
      </c>
      <c r="B1171">
        <v>1170</v>
      </c>
      <c r="C1171" t="s">
        <v>3375</v>
      </c>
    </row>
    <row r="1172" spans="1:4" x14ac:dyDescent="0.25">
      <c r="A1172">
        <v>1171</v>
      </c>
      <c r="B1172">
        <v>1171</v>
      </c>
      <c r="C1172" t="s">
        <v>3376</v>
      </c>
    </row>
    <row r="1173" spans="1:4" x14ac:dyDescent="0.25">
      <c r="A1173">
        <v>1172</v>
      </c>
      <c r="B1173">
        <v>1172</v>
      </c>
      <c r="C1173" t="s">
        <v>3377</v>
      </c>
    </row>
    <row r="1174" spans="1:4" x14ac:dyDescent="0.25">
      <c r="A1174">
        <v>1173</v>
      </c>
      <c r="B1174">
        <v>1173</v>
      </c>
      <c r="C1174" t="s">
        <v>3378</v>
      </c>
    </row>
    <row r="1175" spans="1:4" x14ac:dyDescent="0.25">
      <c r="A1175">
        <v>1174</v>
      </c>
      <c r="B1175">
        <v>1174</v>
      </c>
      <c r="C1175" t="s">
        <v>3379</v>
      </c>
    </row>
    <row r="1176" spans="1:4" x14ac:dyDescent="0.25">
      <c r="A1176">
        <v>1175</v>
      </c>
      <c r="B1176">
        <v>1175</v>
      </c>
    </row>
    <row r="1177" spans="1:4" x14ac:dyDescent="0.25">
      <c r="A1177">
        <v>1176</v>
      </c>
      <c r="B1177">
        <v>1176</v>
      </c>
    </row>
    <row r="1178" spans="1:4" x14ac:dyDescent="0.25">
      <c r="A1178">
        <v>1177</v>
      </c>
      <c r="B1178">
        <v>1177</v>
      </c>
      <c r="C1178" t="s">
        <v>3380</v>
      </c>
    </row>
    <row r="1179" spans="1:4" x14ac:dyDescent="0.25">
      <c r="A1179">
        <v>1178</v>
      </c>
      <c r="B1179">
        <v>1178</v>
      </c>
      <c r="C1179" t="s">
        <v>3381</v>
      </c>
    </row>
    <row r="1180" spans="1:4" x14ac:dyDescent="0.25">
      <c r="A1180">
        <v>1179</v>
      </c>
      <c r="B1180">
        <v>1179</v>
      </c>
      <c r="C1180" t="s">
        <v>3382</v>
      </c>
    </row>
    <row r="1181" spans="1:4" x14ac:dyDescent="0.25">
      <c r="A1181">
        <v>1180</v>
      </c>
      <c r="B1181">
        <v>1180</v>
      </c>
      <c r="C1181" t="s">
        <v>3383</v>
      </c>
    </row>
    <row r="1182" spans="1:4" x14ac:dyDescent="0.25">
      <c r="A1182">
        <v>1181</v>
      </c>
      <c r="B1182">
        <v>1181</v>
      </c>
      <c r="C1182" t="s">
        <v>3384</v>
      </c>
    </row>
    <row r="1183" spans="1:4" x14ac:dyDescent="0.25">
      <c r="A1183">
        <v>1182</v>
      </c>
      <c r="B1183">
        <v>1182</v>
      </c>
      <c r="C1183" t="s">
        <v>3385</v>
      </c>
    </row>
    <row r="1184" spans="1:4" x14ac:dyDescent="0.25">
      <c r="A1184">
        <v>1183</v>
      </c>
      <c r="B1184">
        <v>1183</v>
      </c>
    </row>
    <row r="1185" spans="1:4" x14ac:dyDescent="0.25">
      <c r="A1185">
        <v>1184</v>
      </c>
      <c r="B1185">
        <v>1184</v>
      </c>
      <c r="C1185" t="s">
        <v>3386</v>
      </c>
    </row>
    <row r="1186" spans="1:4" x14ac:dyDescent="0.25">
      <c r="A1186">
        <v>1185</v>
      </c>
      <c r="B1186">
        <v>1185</v>
      </c>
      <c r="C1186" t="s">
        <v>3387</v>
      </c>
    </row>
    <row r="1187" spans="1:4" x14ac:dyDescent="0.25">
      <c r="A1187">
        <v>1186</v>
      </c>
      <c r="B1187">
        <v>1186</v>
      </c>
      <c r="C1187" t="s">
        <v>3388</v>
      </c>
    </row>
    <row r="1188" spans="1:4" x14ac:dyDescent="0.25">
      <c r="A1188">
        <v>1187</v>
      </c>
      <c r="B1188">
        <v>1187</v>
      </c>
      <c r="C1188" t="s">
        <v>3389</v>
      </c>
    </row>
    <row r="1189" spans="1:4" x14ac:dyDescent="0.25">
      <c r="A1189">
        <v>1188</v>
      </c>
      <c r="B1189">
        <v>1188</v>
      </c>
      <c r="C1189" t="s">
        <v>3390</v>
      </c>
    </row>
    <row r="1190" spans="1:4" x14ac:dyDescent="0.25">
      <c r="A1190">
        <v>1189</v>
      </c>
      <c r="B1190">
        <v>1189</v>
      </c>
      <c r="C1190" t="s">
        <v>3391</v>
      </c>
    </row>
    <row r="1191" spans="1:4" x14ac:dyDescent="0.25">
      <c r="A1191">
        <v>1190</v>
      </c>
      <c r="B1191">
        <v>1190</v>
      </c>
      <c r="C1191" t="s">
        <v>3392</v>
      </c>
    </row>
    <row r="1192" spans="1:4" x14ac:dyDescent="0.25">
      <c r="A1192">
        <v>1191</v>
      </c>
      <c r="B1192">
        <v>1191</v>
      </c>
      <c r="C1192" t="s">
        <v>2806</v>
      </c>
    </row>
    <row r="1193" spans="1:4" x14ac:dyDescent="0.25">
      <c r="A1193">
        <v>1192</v>
      </c>
      <c r="B1193">
        <v>1192</v>
      </c>
      <c r="C1193" t="s">
        <v>3393</v>
      </c>
    </row>
    <row r="1194" spans="1:4" x14ac:dyDescent="0.25">
      <c r="A1194">
        <v>1193</v>
      </c>
      <c r="B1194">
        <v>1193</v>
      </c>
      <c r="C1194" t="s">
        <v>3394</v>
      </c>
    </row>
    <row r="1195" spans="1:4" x14ac:dyDescent="0.25">
      <c r="A1195">
        <v>1194</v>
      </c>
      <c r="B1195">
        <v>1194</v>
      </c>
      <c r="C1195" t="s">
        <v>3395</v>
      </c>
    </row>
    <row r="1196" spans="1:4" x14ac:dyDescent="0.25">
      <c r="A1196">
        <v>1195</v>
      </c>
      <c r="B1196">
        <v>1195</v>
      </c>
    </row>
    <row r="1197" spans="1:4" x14ac:dyDescent="0.25">
      <c r="A1197">
        <v>1196</v>
      </c>
      <c r="B1197">
        <v>1196</v>
      </c>
    </row>
    <row r="1198" spans="1:4" x14ac:dyDescent="0.25">
      <c r="A1198">
        <v>1197</v>
      </c>
      <c r="B1198">
        <v>1197</v>
      </c>
      <c r="C1198" t="s">
        <v>3396</v>
      </c>
      <c r="D1198" t="s">
        <v>3397</v>
      </c>
    </row>
    <row r="1199" spans="1:4" x14ac:dyDescent="0.25">
      <c r="A1199">
        <v>1198</v>
      </c>
      <c r="B1199">
        <v>1198</v>
      </c>
      <c r="C1199" t="s">
        <v>3398</v>
      </c>
      <c r="D1199" t="s">
        <v>3399</v>
      </c>
    </row>
    <row r="1200" spans="1:4" x14ac:dyDescent="0.25">
      <c r="A1200">
        <v>1199</v>
      </c>
      <c r="B1200">
        <v>1199</v>
      </c>
      <c r="C1200" t="s">
        <v>3400</v>
      </c>
    </row>
    <row r="1201" spans="1:4" x14ac:dyDescent="0.25">
      <c r="A1201">
        <v>1200</v>
      </c>
      <c r="B1201">
        <v>1200</v>
      </c>
      <c r="C1201" t="s">
        <v>3401</v>
      </c>
      <c r="D1201" t="s">
        <v>3402</v>
      </c>
    </row>
    <row r="1202" spans="1:4" x14ac:dyDescent="0.25">
      <c r="A1202">
        <v>1201</v>
      </c>
      <c r="B1202">
        <v>1201</v>
      </c>
      <c r="C1202" t="s">
        <v>3403</v>
      </c>
      <c r="D1202" t="s">
        <v>3404</v>
      </c>
    </row>
    <row r="1203" spans="1:4" x14ac:dyDescent="0.25">
      <c r="A1203">
        <v>1202</v>
      </c>
      <c r="B1203">
        <v>1202</v>
      </c>
      <c r="C1203" t="s">
        <v>3405</v>
      </c>
    </row>
    <row r="1204" spans="1:4" x14ac:dyDescent="0.25">
      <c r="A1204">
        <v>1203</v>
      </c>
      <c r="B1204">
        <v>1203</v>
      </c>
      <c r="C1204" t="s">
        <v>3406</v>
      </c>
    </row>
    <row r="1205" spans="1:4" x14ac:dyDescent="0.25">
      <c r="A1205">
        <v>1204</v>
      </c>
      <c r="B1205">
        <v>1204</v>
      </c>
      <c r="C1205" t="s">
        <v>3407</v>
      </c>
      <c r="D1205" t="s">
        <v>3408</v>
      </c>
    </row>
    <row r="1206" spans="1:4" x14ac:dyDescent="0.25">
      <c r="A1206">
        <v>1205</v>
      </c>
      <c r="B1206">
        <v>1205</v>
      </c>
      <c r="C1206" t="s">
        <v>3409</v>
      </c>
      <c r="D1206" t="s">
        <v>3410</v>
      </c>
    </row>
    <row r="1207" spans="1:4" x14ac:dyDescent="0.25">
      <c r="A1207">
        <v>1206</v>
      </c>
      <c r="B1207">
        <v>1206</v>
      </c>
      <c r="C1207" t="s">
        <v>3411</v>
      </c>
    </row>
    <row r="1208" spans="1:4" x14ac:dyDescent="0.25">
      <c r="A1208">
        <v>1207</v>
      </c>
      <c r="B1208">
        <v>1207</v>
      </c>
    </row>
    <row r="1209" spans="1:4" x14ac:dyDescent="0.25">
      <c r="A1209">
        <v>1208</v>
      </c>
      <c r="B1209">
        <v>1208</v>
      </c>
      <c r="C1209" t="s">
        <v>3412</v>
      </c>
      <c r="D1209" t="s">
        <v>3413</v>
      </c>
    </row>
    <row r="1210" spans="1:4" x14ac:dyDescent="0.25">
      <c r="A1210">
        <v>1209</v>
      </c>
      <c r="B1210">
        <v>1209</v>
      </c>
      <c r="C1210" t="s">
        <v>3414</v>
      </c>
    </row>
    <row r="1211" spans="1:4" x14ac:dyDescent="0.25">
      <c r="A1211">
        <v>1210</v>
      </c>
      <c r="B1211">
        <v>1210</v>
      </c>
      <c r="C1211" t="s">
        <v>3415</v>
      </c>
      <c r="D1211" t="s">
        <v>3416</v>
      </c>
    </row>
    <row r="1212" spans="1:4" x14ac:dyDescent="0.25">
      <c r="A1212">
        <v>1211</v>
      </c>
      <c r="B1212">
        <v>1211</v>
      </c>
      <c r="C1212" t="s">
        <v>3417</v>
      </c>
      <c r="D1212" t="s">
        <v>3418</v>
      </c>
    </row>
    <row r="1213" spans="1:4" x14ac:dyDescent="0.25">
      <c r="A1213">
        <v>1212</v>
      </c>
      <c r="B1213">
        <v>1212</v>
      </c>
      <c r="C1213" t="s">
        <v>3419</v>
      </c>
      <c r="D1213" t="s">
        <v>3420</v>
      </c>
    </row>
    <row r="1214" spans="1:4" x14ac:dyDescent="0.25">
      <c r="A1214">
        <v>1213</v>
      </c>
      <c r="B1214">
        <v>1213</v>
      </c>
      <c r="C1214" t="s">
        <v>3421</v>
      </c>
      <c r="D1214" t="s">
        <v>3422</v>
      </c>
    </row>
    <row r="1215" spans="1:4" x14ac:dyDescent="0.25">
      <c r="A1215">
        <v>1214</v>
      </c>
      <c r="B1215">
        <v>1214</v>
      </c>
      <c r="C1215" t="s">
        <v>3423</v>
      </c>
      <c r="D1215" t="s">
        <v>3424</v>
      </c>
    </row>
    <row r="1216" spans="1:4" x14ac:dyDescent="0.25">
      <c r="A1216">
        <v>1215</v>
      </c>
      <c r="B1216">
        <v>1215</v>
      </c>
      <c r="C1216" t="s">
        <v>3425</v>
      </c>
      <c r="D1216" t="s">
        <v>3426</v>
      </c>
    </row>
    <row r="1217" spans="1:4" x14ac:dyDescent="0.25">
      <c r="A1217">
        <v>1216</v>
      </c>
      <c r="B1217">
        <v>1216</v>
      </c>
    </row>
    <row r="1218" spans="1:4" x14ac:dyDescent="0.25">
      <c r="A1218">
        <v>1217</v>
      </c>
      <c r="B1218">
        <v>1217</v>
      </c>
      <c r="C1218" t="s">
        <v>3427</v>
      </c>
    </row>
    <row r="1219" spans="1:4" x14ac:dyDescent="0.25">
      <c r="A1219">
        <v>1218</v>
      </c>
      <c r="B1219">
        <v>1218</v>
      </c>
      <c r="C1219" t="s">
        <v>3428</v>
      </c>
    </row>
    <row r="1220" spans="1:4" x14ac:dyDescent="0.25">
      <c r="A1220">
        <v>1219</v>
      </c>
      <c r="B1220">
        <v>1219</v>
      </c>
      <c r="C1220" t="s">
        <v>3429</v>
      </c>
    </row>
    <row r="1221" spans="1:4" x14ac:dyDescent="0.25">
      <c r="A1221">
        <v>1220</v>
      </c>
      <c r="B1221">
        <v>1220</v>
      </c>
      <c r="C1221" t="s">
        <v>3430</v>
      </c>
    </row>
    <row r="1222" spans="1:4" x14ac:dyDescent="0.25">
      <c r="A1222">
        <v>1221</v>
      </c>
      <c r="B1222">
        <v>1221</v>
      </c>
      <c r="C1222" t="s">
        <v>3431</v>
      </c>
      <c r="D1222" t="s">
        <v>3432</v>
      </c>
    </row>
    <row r="1223" spans="1:4" x14ac:dyDescent="0.25">
      <c r="A1223">
        <v>1222</v>
      </c>
      <c r="B1223">
        <v>1222</v>
      </c>
      <c r="C1223" t="s">
        <v>3433</v>
      </c>
    </row>
    <row r="1224" spans="1:4" x14ac:dyDescent="0.25">
      <c r="A1224">
        <v>1223</v>
      </c>
      <c r="B1224">
        <v>1223</v>
      </c>
      <c r="C1224" t="s">
        <v>3434</v>
      </c>
      <c r="D1224" t="s">
        <v>3435</v>
      </c>
    </row>
    <row r="1225" spans="1:4" x14ac:dyDescent="0.25">
      <c r="A1225">
        <v>1224</v>
      </c>
      <c r="B1225">
        <v>1224</v>
      </c>
      <c r="C1225" t="s">
        <v>3430</v>
      </c>
    </row>
    <row r="1226" spans="1:4" x14ac:dyDescent="0.25">
      <c r="A1226">
        <v>1225</v>
      </c>
      <c r="B1226">
        <v>1225</v>
      </c>
      <c r="C1226" t="s">
        <v>3436</v>
      </c>
      <c r="D1226" t="s">
        <v>3437</v>
      </c>
    </row>
    <row r="1227" spans="1:4" x14ac:dyDescent="0.25">
      <c r="A1227">
        <v>1226</v>
      </c>
      <c r="B1227">
        <v>1226</v>
      </c>
    </row>
    <row r="1228" spans="1:4" x14ac:dyDescent="0.25">
      <c r="A1228">
        <v>1227</v>
      </c>
      <c r="B1228">
        <v>1227</v>
      </c>
      <c r="C1228" t="s">
        <v>3438</v>
      </c>
    </row>
    <row r="1229" spans="1:4" x14ac:dyDescent="0.25">
      <c r="A1229">
        <v>1228</v>
      </c>
      <c r="B1229">
        <v>1228</v>
      </c>
      <c r="C1229" t="s">
        <v>3439</v>
      </c>
      <c r="D1229" t="s">
        <v>3440</v>
      </c>
    </row>
    <row r="1230" spans="1:4" x14ac:dyDescent="0.25">
      <c r="A1230">
        <v>1229</v>
      </c>
      <c r="B1230">
        <v>1229</v>
      </c>
      <c r="C1230" t="s">
        <v>3441</v>
      </c>
      <c r="D1230" t="s">
        <v>3442</v>
      </c>
    </row>
    <row r="1231" spans="1:4" x14ac:dyDescent="0.25">
      <c r="A1231">
        <v>1230</v>
      </c>
      <c r="B1231">
        <v>1230</v>
      </c>
    </row>
    <row r="1232" spans="1:4" x14ac:dyDescent="0.25">
      <c r="A1232">
        <v>1231</v>
      </c>
      <c r="B1232">
        <v>1231</v>
      </c>
      <c r="C1232" t="s">
        <v>3443</v>
      </c>
    </row>
    <row r="1233" spans="1:4" x14ac:dyDescent="0.25">
      <c r="A1233">
        <v>1232</v>
      </c>
      <c r="B1233">
        <v>1232</v>
      </c>
    </row>
    <row r="1234" spans="1:4" x14ac:dyDescent="0.25">
      <c r="A1234">
        <v>1233</v>
      </c>
      <c r="B1234">
        <v>1233</v>
      </c>
      <c r="C1234" t="s">
        <v>3444</v>
      </c>
      <c r="D1234" t="s">
        <v>3445</v>
      </c>
    </row>
    <row r="1235" spans="1:4" x14ac:dyDescent="0.25">
      <c r="A1235">
        <v>1234</v>
      </c>
      <c r="B1235">
        <v>1234</v>
      </c>
      <c r="C1235" t="s">
        <v>3446</v>
      </c>
      <c r="D1235" t="s">
        <v>3447</v>
      </c>
    </row>
    <row r="1236" spans="1:4" x14ac:dyDescent="0.25">
      <c r="A1236">
        <v>1235</v>
      </c>
      <c r="B1236">
        <v>1235</v>
      </c>
      <c r="C1236" t="s">
        <v>3448</v>
      </c>
      <c r="D1236" t="s">
        <v>3449</v>
      </c>
    </row>
    <row r="1237" spans="1:4" x14ac:dyDescent="0.25">
      <c r="A1237">
        <v>1236</v>
      </c>
      <c r="B1237">
        <v>1236</v>
      </c>
      <c r="C1237" t="s">
        <v>3450</v>
      </c>
      <c r="D1237" t="s">
        <v>3451</v>
      </c>
    </row>
    <row r="1238" spans="1:4" x14ac:dyDescent="0.25">
      <c r="A1238">
        <v>1237</v>
      </c>
      <c r="B1238">
        <v>1237</v>
      </c>
      <c r="C1238" t="s">
        <v>3452</v>
      </c>
    </row>
    <row r="1239" spans="1:4" x14ac:dyDescent="0.25">
      <c r="A1239">
        <v>1238</v>
      </c>
      <c r="B1239">
        <v>1238</v>
      </c>
      <c r="C1239" t="s">
        <v>3453</v>
      </c>
      <c r="D1239" t="s">
        <v>3454</v>
      </c>
    </row>
    <row r="1240" spans="1:4" x14ac:dyDescent="0.25">
      <c r="A1240">
        <v>1239</v>
      </c>
      <c r="B1240">
        <v>1239</v>
      </c>
      <c r="C1240" t="s">
        <v>3455</v>
      </c>
    </row>
    <row r="1241" spans="1:4" x14ac:dyDescent="0.25">
      <c r="A1241">
        <v>1240</v>
      </c>
      <c r="B1241">
        <v>1240</v>
      </c>
      <c r="C1241" t="s">
        <v>3456</v>
      </c>
      <c r="D1241" t="s">
        <v>3457</v>
      </c>
    </row>
    <row r="1242" spans="1:4" x14ac:dyDescent="0.25">
      <c r="A1242">
        <v>1241</v>
      </c>
      <c r="B1242">
        <v>1241</v>
      </c>
      <c r="C1242" t="s">
        <v>3458</v>
      </c>
    </row>
    <row r="1243" spans="1:4" x14ac:dyDescent="0.25">
      <c r="A1243">
        <v>1242</v>
      </c>
      <c r="B1243">
        <v>1242</v>
      </c>
      <c r="C1243" t="s">
        <v>3459</v>
      </c>
    </row>
    <row r="1244" spans="1:4" x14ac:dyDescent="0.25">
      <c r="A1244">
        <v>1243</v>
      </c>
      <c r="B1244">
        <v>1243</v>
      </c>
    </row>
    <row r="1245" spans="1:4" x14ac:dyDescent="0.25">
      <c r="A1245">
        <v>1244</v>
      </c>
      <c r="B1245">
        <v>1244</v>
      </c>
      <c r="C1245" t="s">
        <v>3460</v>
      </c>
    </row>
    <row r="1246" spans="1:4" x14ac:dyDescent="0.25">
      <c r="A1246">
        <v>1245</v>
      </c>
      <c r="B1246">
        <v>1245</v>
      </c>
    </row>
    <row r="1247" spans="1:4" x14ac:dyDescent="0.25">
      <c r="A1247">
        <v>1246</v>
      </c>
      <c r="B1247">
        <v>1246</v>
      </c>
      <c r="C1247" t="s">
        <v>3461</v>
      </c>
      <c r="D1247" t="s">
        <v>3462</v>
      </c>
    </row>
    <row r="1248" spans="1:4" x14ac:dyDescent="0.25">
      <c r="A1248">
        <v>1247</v>
      </c>
      <c r="B1248">
        <v>1247</v>
      </c>
      <c r="C1248" t="s">
        <v>3463</v>
      </c>
    </row>
    <row r="1249" spans="1:4" x14ac:dyDescent="0.25">
      <c r="A1249">
        <v>1248</v>
      </c>
      <c r="B1249">
        <v>1248</v>
      </c>
      <c r="C1249" t="s">
        <v>3464</v>
      </c>
      <c r="D1249" t="s">
        <v>3465</v>
      </c>
    </row>
    <row r="1250" spans="1:4" x14ac:dyDescent="0.25">
      <c r="A1250">
        <v>1249</v>
      </c>
      <c r="B1250">
        <v>1249</v>
      </c>
      <c r="C1250" t="s">
        <v>3466</v>
      </c>
    </row>
    <row r="1251" spans="1:4" x14ac:dyDescent="0.25">
      <c r="A1251">
        <v>1250</v>
      </c>
      <c r="B1251">
        <v>1250</v>
      </c>
      <c r="C1251" t="s">
        <v>3467</v>
      </c>
      <c r="D1251" t="s">
        <v>3468</v>
      </c>
    </row>
    <row r="1252" spans="1:4" x14ac:dyDescent="0.25">
      <c r="A1252">
        <v>1251</v>
      </c>
      <c r="B1252">
        <v>1251</v>
      </c>
      <c r="C1252" t="s">
        <v>3469</v>
      </c>
    </row>
    <row r="1253" spans="1:4" x14ac:dyDescent="0.25">
      <c r="A1253">
        <v>1252</v>
      </c>
      <c r="B1253">
        <v>1252</v>
      </c>
      <c r="C1253" t="s">
        <v>3470</v>
      </c>
      <c r="D1253" t="s">
        <v>3471</v>
      </c>
    </row>
    <row r="1254" spans="1:4" x14ac:dyDescent="0.25">
      <c r="A1254">
        <v>1253</v>
      </c>
      <c r="B1254">
        <v>1253</v>
      </c>
    </row>
    <row r="1255" spans="1:4" x14ac:dyDescent="0.25">
      <c r="A1255">
        <v>1254</v>
      </c>
      <c r="B1255">
        <v>1254</v>
      </c>
      <c r="C1255" t="s">
        <v>3472</v>
      </c>
    </row>
    <row r="1256" spans="1:4" x14ac:dyDescent="0.25">
      <c r="A1256">
        <v>1255</v>
      </c>
      <c r="B1256">
        <v>1255</v>
      </c>
    </row>
    <row r="1257" spans="1:4" x14ac:dyDescent="0.25">
      <c r="A1257">
        <v>1256</v>
      </c>
      <c r="B1257">
        <v>1256</v>
      </c>
      <c r="C1257" t="s">
        <v>3473</v>
      </c>
      <c r="D1257" t="s">
        <v>3474</v>
      </c>
    </row>
    <row r="1258" spans="1:4" x14ac:dyDescent="0.25">
      <c r="A1258">
        <v>1257</v>
      </c>
      <c r="B1258">
        <v>1257</v>
      </c>
      <c r="C1258" t="s">
        <v>3475</v>
      </c>
    </row>
    <row r="1259" spans="1:4" x14ac:dyDescent="0.25">
      <c r="A1259">
        <v>1258</v>
      </c>
      <c r="B1259">
        <v>1258</v>
      </c>
      <c r="C1259" t="s">
        <v>3476</v>
      </c>
    </row>
    <row r="1260" spans="1:4" x14ac:dyDescent="0.25">
      <c r="A1260">
        <v>1259</v>
      </c>
      <c r="B1260">
        <v>1259</v>
      </c>
      <c r="C1260" t="s">
        <v>3477</v>
      </c>
    </row>
    <row r="1261" spans="1:4" x14ac:dyDescent="0.25">
      <c r="A1261">
        <v>1260</v>
      </c>
      <c r="B1261">
        <v>1260</v>
      </c>
      <c r="C1261" t="s">
        <v>3478</v>
      </c>
    </row>
    <row r="1262" spans="1:4" x14ac:dyDescent="0.25">
      <c r="A1262">
        <v>1261</v>
      </c>
      <c r="B1262">
        <v>1261</v>
      </c>
      <c r="C1262" t="s">
        <v>3479</v>
      </c>
      <c r="D1262" t="s">
        <v>3480</v>
      </c>
    </row>
    <row r="1263" spans="1:4" x14ac:dyDescent="0.25">
      <c r="A1263">
        <v>1262</v>
      </c>
      <c r="B1263">
        <v>1262</v>
      </c>
      <c r="C1263" t="s">
        <v>3481</v>
      </c>
      <c r="D1263" t="s">
        <v>3482</v>
      </c>
    </row>
    <row r="1264" spans="1:4" x14ac:dyDescent="0.25">
      <c r="A1264">
        <v>1263</v>
      </c>
      <c r="B1264">
        <v>1263</v>
      </c>
      <c r="C1264" t="s">
        <v>3483</v>
      </c>
    </row>
    <row r="1265" spans="1:4" x14ac:dyDescent="0.25">
      <c r="A1265">
        <v>1264</v>
      </c>
      <c r="B1265">
        <v>1264</v>
      </c>
      <c r="C1265" t="s">
        <v>3484</v>
      </c>
    </row>
    <row r="1266" spans="1:4" x14ac:dyDescent="0.25">
      <c r="A1266">
        <v>1265</v>
      </c>
      <c r="B1266">
        <v>1265</v>
      </c>
      <c r="C1266" t="s">
        <v>3485</v>
      </c>
      <c r="D1266" t="s">
        <v>3486</v>
      </c>
    </row>
    <row r="1267" spans="1:4" x14ac:dyDescent="0.25">
      <c r="A1267">
        <v>1266</v>
      </c>
      <c r="B1267">
        <v>1266</v>
      </c>
      <c r="C1267" t="s">
        <v>3487</v>
      </c>
      <c r="D1267" t="s">
        <v>3488</v>
      </c>
    </row>
    <row r="1268" spans="1:4" x14ac:dyDescent="0.25">
      <c r="A1268">
        <v>1267</v>
      </c>
      <c r="B1268">
        <v>1267</v>
      </c>
      <c r="C1268" t="s">
        <v>3489</v>
      </c>
    </row>
    <row r="1269" spans="1:4" x14ac:dyDescent="0.25">
      <c r="A1269">
        <v>1268</v>
      </c>
      <c r="B1269">
        <v>1268</v>
      </c>
      <c r="C1269" t="s">
        <v>3490</v>
      </c>
    </row>
    <row r="1270" spans="1:4" x14ac:dyDescent="0.25">
      <c r="A1270">
        <v>1269</v>
      </c>
      <c r="B1270">
        <v>1269</v>
      </c>
      <c r="C1270" t="s">
        <v>3491</v>
      </c>
      <c r="D1270" t="s">
        <v>3492</v>
      </c>
    </row>
    <row r="1271" spans="1:4" x14ac:dyDescent="0.25">
      <c r="A1271">
        <v>1270</v>
      </c>
      <c r="B1271">
        <v>1270</v>
      </c>
      <c r="C1271" t="s">
        <v>3493</v>
      </c>
      <c r="D1271" t="s">
        <v>3494</v>
      </c>
    </row>
    <row r="1272" spans="1:4" x14ac:dyDescent="0.25">
      <c r="A1272">
        <v>1271</v>
      </c>
      <c r="B1272">
        <v>1271</v>
      </c>
      <c r="C1272" t="s">
        <v>3495</v>
      </c>
      <c r="D1272" t="s">
        <v>3496</v>
      </c>
    </row>
    <row r="1273" spans="1:4" x14ac:dyDescent="0.25">
      <c r="A1273">
        <v>1272</v>
      </c>
      <c r="B1273">
        <v>1272</v>
      </c>
      <c r="C1273" t="s">
        <v>3497</v>
      </c>
      <c r="D1273" t="s">
        <v>3498</v>
      </c>
    </row>
    <row r="1274" spans="1:4" x14ac:dyDescent="0.25">
      <c r="A1274">
        <v>1273</v>
      </c>
      <c r="B1274">
        <v>1273</v>
      </c>
      <c r="C1274" t="s">
        <v>3499</v>
      </c>
    </row>
    <row r="1275" spans="1:4" x14ac:dyDescent="0.25">
      <c r="A1275">
        <v>1274</v>
      </c>
      <c r="B1275">
        <v>1274</v>
      </c>
      <c r="C1275" t="s">
        <v>3500</v>
      </c>
    </row>
    <row r="1276" spans="1:4" x14ac:dyDescent="0.25">
      <c r="A1276">
        <v>1275</v>
      </c>
      <c r="B1276">
        <v>1275</v>
      </c>
    </row>
    <row r="1277" spans="1:4" x14ac:dyDescent="0.25">
      <c r="A1277">
        <v>1276</v>
      </c>
      <c r="B1277">
        <v>1276</v>
      </c>
      <c r="C1277" t="s">
        <v>3501</v>
      </c>
      <c r="D1277" t="s">
        <v>3502</v>
      </c>
    </row>
    <row r="1278" spans="1:4" x14ac:dyDescent="0.25">
      <c r="A1278">
        <v>1277</v>
      </c>
      <c r="B1278">
        <v>1277</v>
      </c>
      <c r="C1278" t="s">
        <v>3503</v>
      </c>
    </row>
    <row r="1279" spans="1:4" x14ac:dyDescent="0.25">
      <c r="A1279">
        <v>1278</v>
      </c>
      <c r="B1279">
        <v>1278</v>
      </c>
    </row>
    <row r="1280" spans="1:4" x14ac:dyDescent="0.25">
      <c r="A1280">
        <v>1279</v>
      </c>
      <c r="B1280">
        <v>1279</v>
      </c>
      <c r="C1280" t="s">
        <v>3504</v>
      </c>
      <c r="D1280" t="s">
        <v>3494</v>
      </c>
    </row>
    <row r="1281" spans="1:4" x14ac:dyDescent="0.25">
      <c r="A1281">
        <v>1280</v>
      </c>
      <c r="B1281">
        <v>1280</v>
      </c>
      <c r="C1281" t="s">
        <v>3505</v>
      </c>
    </row>
    <row r="1282" spans="1:4" x14ac:dyDescent="0.25">
      <c r="A1282">
        <v>1281</v>
      </c>
      <c r="B1282">
        <v>1281</v>
      </c>
      <c r="C1282" t="s">
        <v>3506</v>
      </c>
    </row>
    <row r="1283" spans="1:4" x14ac:dyDescent="0.25">
      <c r="A1283">
        <v>1282</v>
      </c>
      <c r="B1283">
        <v>1282</v>
      </c>
      <c r="C1283" t="s">
        <v>3507</v>
      </c>
    </row>
    <row r="1284" spans="1:4" x14ac:dyDescent="0.25">
      <c r="A1284">
        <v>1283</v>
      </c>
      <c r="B1284">
        <v>1283</v>
      </c>
      <c r="C1284" t="s">
        <v>3508</v>
      </c>
    </row>
    <row r="1285" spans="1:4" x14ac:dyDescent="0.25">
      <c r="A1285">
        <v>1284</v>
      </c>
      <c r="B1285">
        <v>1284</v>
      </c>
      <c r="C1285" t="s">
        <v>3509</v>
      </c>
    </row>
    <row r="1286" spans="1:4" x14ac:dyDescent="0.25">
      <c r="A1286">
        <v>1285</v>
      </c>
      <c r="B1286">
        <v>1285</v>
      </c>
      <c r="C1286" t="s">
        <v>3510</v>
      </c>
      <c r="D1286" t="s">
        <v>3511</v>
      </c>
    </row>
    <row r="1287" spans="1:4" x14ac:dyDescent="0.25">
      <c r="A1287">
        <v>1286</v>
      </c>
      <c r="B1287">
        <v>1286</v>
      </c>
      <c r="C1287" t="s">
        <v>3512</v>
      </c>
      <c r="D1287" t="s">
        <v>3513</v>
      </c>
    </row>
    <row r="1288" spans="1:4" x14ac:dyDescent="0.25">
      <c r="A1288">
        <v>1287</v>
      </c>
      <c r="B1288">
        <v>1287</v>
      </c>
      <c r="C1288" t="s">
        <v>3514</v>
      </c>
      <c r="D1288" t="s">
        <v>3515</v>
      </c>
    </row>
    <row r="1289" spans="1:4" x14ac:dyDescent="0.25">
      <c r="A1289">
        <v>1288</v>
      </c>
      <c r="B1289">
        <v>1288</v>
      </c>
      <c r="C1289" t="s">
        <v>3516</v>
      </c>
    </row>
    <row r="1290" spans="1:4" x14ac:dyDescent="0.25">
      <c r="A1290">
        <v>1289</v>
      </c>
      <c r="B1290">
        <v>1289</v>
      </c>
      <c r="C1290" t="s">
        <v>3517</v>
      </c>
    </row>
    <row r="1291" spans="1:4" x14ac:dyDescent="0.25">
      <c r="A1291">
        <v>1290</v>
      </c>
      <c r="B1291">
        <v>1290</v>
      </c>
      <c r="C1291" t="s">
        <v>3518</v>
      </c>
    </row>
    <row r="1292" spans="1:4" x14ac:dyDescent="0.25">
      <c r="A1292">
        <v>1291</v>
      </c>
      <c r="B1292">
        <v>1291</v>
      </c>
    </row>
    <row r="1293" spans="1:4" x14ac:dyDescent="0.25">
      <c r="A1293">
        <v>1292</v>
      </c>
      <c r="B1293">
        <v>1292</v>
      </c>
      <c r="C1293" t="s">
        <v>3519</v>
      </c>
      <c r="D1293" t="s">
        <v>3520</v>
      </c>
    </row>
    <row r="1294" spans="1:4" x14ac:dyDescent="0.25">
      <c r="A1294">
        <v>1293</v>
      </c>
      <c r="B1294">
        <v>1293</v>
      </c>
      <c r="C1294" t="s">
        <v>3521</v>
      </c>
    </row>
    <row r="1295" spans="1:4" x14ac:dyDescent="0.25">
      <c r="A1295">
        <v>1294</v>
      </c>
      <c r="B1295">
        <v>1294</v>
      </c>
      <c r="C1295" t="s">
        <v>3522</v>
      </c>
    </row>
    <row r="1296" spans="1:4" x14ac:dyDescent="0.25">
      <c r="A1296">
        <v>1295</v>
      </c>
      <c r="B1296">
        <v>1295</v>
      </c>
      <c r="C1296" t="s">
        <v>3523</v>
      </c>
      <c r="D1296" t="s">
        <v>3524</v>
      </c>
    </row>
    <row r="1297" spans="1:4" x14ac:dyDescent="0.25">
      <c r="A1297">
        <v>1296</v>
      </c>
      <c r="B1297">
        <v>1296</v>
      </c>
      <c r="C1297" t="s">
        <v>3525</v>
      </c>
    </row>
    <row r="1298" spans="1:4" x14ac:dyDescent="0.25">
      <c r="A1298">
        <v>1297</v>
      </c>
      <c r="B1298">
        <v>1297</v>
      </c>
      <c r="C1298" t="s">
        <v>3526</v>
      </c>
      <c r="D1298" t="s">
        <v>3527</v>
      </c>
    </row>
    <row r="1299" spans="1:4" x14ac:dyDescent="0.25">
      <c r="A1299">
        <v>1298</v>
      </c>
      <c r="B1299">
        <v>1298</v>
      </c>
      <c r="C1299" t="s">
        <v>3528</v>
      </c>
    </row>
    <row r="1300" spans="1:4" x14ac:dyDescent="0.25">
      <c r="A1300">
        <v>1299</v>
      </c>
      <c r="B1300">
        <v>1299</v>
      </c>
      <c r="C1300" t="s">
        <v>3529</v>
      </c>
      <c r="D1300" t="s">
        <v>3530</v>
      </c>
    </row>
    <row r="1301" spans="1:4" x14ac:dyDescent="0.25">
      <c r="A1301">
        <v>1300</v>
      </c>
      <c r="B1301">
        <v>1300</v>
      </c>
      <c r="C1301" t="s">
        <v>3531</v>
      </c>
    </row>
    <row r="1302" spans="1:4" x14ac:dyDescent="0.25">
      <c r="A1302">
        <v>1301</v>
      </c>
      <c r="B1302">
        <v>1301</v>
      </c>
      <c r="C1302" t="s">
        <v>3532</v>
      </c>
    </row>
    <row r="1303" spans="1:4" x14ac:dyDescent="0.25">
      <c r="A1303">
        <v>1302</v>
      </c>
      <c r="B1303">
        <v>1302</v>
      </c>
      <c r="C1303" t="s">
        <v>3533</v>
      </c>
      <c r="D1303" t="s">
        <v>3534</v>
      </c>
    </row>
    <row r="1304" spans="1:4" x14ac:dyDescent="0.25">
      <c r="A1304">
        <v>1303</v>
      </c>
      <c r="B1304">
        <v>1303</v>
      </c>
    </row>
    <row r="1305" spans="1:4" x14ac:dyDescent="0.25">
      <c r="A1305">
        <v>1304</v>
      </c>
      <c r="B1305">
        <v>1304</v>
      </c>
      <c r="C1305" t="s">
        <v>3535</v>
      </c>
    </row>
    <row r="1306" spans="1:4" x14ac:dyDescent="0.25">
      <c r="A1306">
        <v>1305</v>
      </c>
      <c r="B1306">
        <v>1305</v>
      </c>
    </row>
    <row r="1307" spans="1:4" x14ac:dyDescent="0.25">
      <c r="A1307">
        <v>1306</v>
      </c>
      <c r="B1307">
        <v>1306</v>
      </c>
      <c r="C1307" t="s">
        <v>3536</v>
      </c>
      <c r="D1307" t="s">
        <v>3537</v>
      </c>
    </row>
    <row r="1308" spans="1:4" x14ac:dyDescent="0.25">
      <c r="A1308">
        <v>1307</v>
      </c>
      <c r="B1308">
        <v>1307</v>
      </c>
      <c r="C1308" t="s">
        <v>3538</v>
      </c>
    </row>
    <row r="1309" spans="1:4" x14ac:dyDescent="0.25">
      <c r="A1309">
        <v>1308</v>
      </c>
      <c r="B1309">
        <v>1308</v>
      </c>
    </row>
    <row r="1310" spans="1:4" x14ac:dyDescent="0.25">
      <c r="A1310">
        <v>1309</v>
      </c>
      <c r="B1310">
        <v>1309</v>
      </c>
      <c r="C1310" t="s">
        <v>3539</v>
      </c>
      <c r="D1310" t="s">
        <v>3540</v>
      </c>
    </row>
    <row r="1311" spans="1:4" x14ac:dyDescent="0.25">
      <c r="A1311">
        <v>1310</v>
      </c>
      <c r="B1311">
        <v>1310</v>
      </c>
      <c r="C1311" t="s">
        <v>3541</v>
      </c>
    </row>
    <row r="1312" spans="1:4" x14ac:dyDescent="0.25">
      <c r="A1312">
        <v>1311</v>
      </c>
      <c r="B1312">
        <v>1311</v>
      </c>
      <c r="C1312" t="s">
        <v>3542</v>
      </c>
    </row>
    <row r="1313" spans="1:4" x14ac:dyDescent="0.25">
      <c r="A1313">
        <v>1312</v>
      </c>
      <c r="B1313">
        <v>1312</v>
      </c>
    </row>
    <row r="1314" spans="1:4" x14ac:dyDescent="0.25">
      <c r="A1314">
        <v>1313</v>
      </c>
      <c r="B1314">
        <v>1313</v>
      </c>
      <c r="C1314" t="s">
        <v>3543</v>
      </c>
      <c r="D1314" t="s">
        <v>3544</v>
      </c>
    </row>
    <row r="1315" spans="1:4" x14ac:dyDescent="0.25">
      <c r="A1315">
        <v>1314</v>
      </c>
      <c r="B1315">
        <v>1314</v>
      </c>
      <c r="C1315" t="s">
        <v>3545</v>
      </c>
      <c r="D1315" t="s">
        <v>3546</v>
      </c>
    </row>
    <row r="1316" spans="1:4" x14ac:dyDescent="0.25">
      <c r="A1316">
        <v>1315</v>
      </c>
      <c r="B1316">
        <v>1315</v>
      </c>
      <c r="C1316" t="s">
        <v>3547</v>
      </c>
      <c r="D1316" t="s">
        <v>3548</v>
      </c>
    </row>
    <row r="1317" spans="1:4" x14ac:dyDescent="0.25">
      <c r="A1317">
        <v>1316</v>
      </c>
      <c r="B1317">
        <v>1316</v>
      </c>
      <c r="C1317" t="s">
        <v>3549</v>
      </c>
    </row>
    <row r="1318" spans="1:4" x14ac:dyDescent="0.25">
      <c r="A1318">
        <v>1317</v>
      </c>
      <c r="B1318">
        <v>1317</v>
      </c>
      <c r="C1318" t="s">
        <v>3550</v>
      </c>
    </row>
    <row r="1319" spans="1:4" x14ac:dyDescent="0.25">
      <c r="A1319">
        <v>1318</v>
      </c>
      <c r="B1319">
        <v>1318</v>
      </c>
    </row>
    <row r="1320" spans="1:4" x14ac:dyDescent="0.25">
      <c r="A1320">
        <v>1319</v>
      </c>
      <c r="B1320">
        <v>1319</v>
      </c>
      <c r="C1320" t="s">
        <v>3551</v>
      </c>
      <c r="D1320" t="s">
        <v>3552</v>
      </c>
    </row>
    <row r="1321" spans="1:4" x14ac:dyDescent="0.25">
      <c r="A1321">
        <v>1320</v>
      </c>
      <c r="B1321">
        <v>1320</v>
      </c>
      <c r="C1321" t="s">
        <v>3553</v>
      </c>
      <c r="D1321" t="s">
        <v>3554</v>
      </c>
    </row>
    <row r="1322" spans="1:4" x14ac:dyDescent="0.25">
      <c r="A1322">
        <v>1321</v>
      </c>
      <c r="B1322">
        <v>1321</v>
      </c>
      <c r="C1322" t="s">
        <v>3555</v>
      </c>
      <c r="D1322" t="s">
        <v>3556</v>
      </c>
    </row>
    <row r="1323" spans="1:4" x14ac:dyDescent="0.25">
      <c r="A1323">
        <v>1322</v>
      </c>
      <c r="B1323">
        <v>1322</v>
      </c>
    </row>
    <row r="1324" spans="1:4" x14ac:dyDescent="0.25">
      <c r="A1324">
        <v>1323</v>
      </c>
      <c r="B1324">
        <v>1323</v>
      </c>
      <c r="C1324" t="s">
        <v>3557</v>
      </c>
      <c r="D1324" t="s">
        <v>3558</v>
      </c>
    </row>
    <row r="1325" spans="1:4" x14ac:dyDescent="0.25">
      <c r="A1325">
        <v>1324</v>
      </c>
      <c r="B1325">
        <v>1324</v>
      </c>
      <c r="C1325" t="s">
        <v>3559</v>
      </c>
    </row>
    <row r="1326" spans="1:4" x14ac:dyDescent="0.25">
      <c r="A1326">
        <v>1325</v>
      </c>
      <c r="B1326">
        <v>1325</v>
      </c>
      <c r="C1326" t="s">
        <v>3560</v>
      </c>
    </row>
    <row r="1327" spans="1:4" x14ac:dyDescent="0.25">
      <c r="A1327">
        <v>1326</v>
      </c>
      <c r="B1327">
        <v>1326</v>
      </c>
      <c r="C1327" t="s">
        <v>3561</v>
      </c>
      <c r="D1327" t="s">
        <v>3562</v>
      </c>
    </row>
    <row r="1328" spans="1:4" x14ac:dyDescent="0.25">
      <c r="A1328">
        <v>1327</v>
      </c>
      <c r="B1328">
        <v>1327</v>
      </c>
    </row>
    <row r="1329" spans="1:3" x14ac:dyDescent="0.25">
      <c r="A1329">
        <v>1328</v>
      </c>
      <c r="B1329">
        <v>1328</v>
      </c>
      <c r="C1329" t="s">
        <v>1657</v>
      </c>
    </row>
    <row r="1330" spans="1:3" x14ac:dyDescent="0.25">
      <c r="A1330">
        <v>1329</v>
      </c>
      <c r="B1330">
        <v>1329</v>
      </c>
      <c r="C1330" t="s">
        <v>3563</v>
      </c>
    </row>
    <row r="1331" spans="1:3" x14ac:dyDescent="0.25">
      <c r="A1331">
        <v>1330</v>
      </c>
      <c r="B1331">
        <v>1330</v>
      </c>
      <c r="C1331" t="s">
        <v>3564</v>
      </c>
    </row>
    <row r="1332" spans="1:3" x14ac:dyDescent="0.25">
      <c r="A1332">
        <v>1331</v>
      </c>
      <c r="B1332">
        <v>1331</v>
      </c>
      <c r="C1332" t="s">
        <v>3565</v>
      </c>
    </row>
    <row r="1333" spans="1:3" x14ac:dyDescent="0.25">
      <c r="A1333">
        <v>1332</v>
      </c>
      <c r="B1333">
        <v>1332</v>
      </c>
      <c r="C1333" t="s">
        <v>3566</v>
      </c>
    </row>
    <row r="1334" spans="1:3" x14ac:dyDescent="0.25">
      <c r="A1334">
        <v>1333</v>
      </c>
      <c r="B1334">
        <v>1333</v>
      </c>
      <c r="C1334" t="s">
        <v>3567</v>
      </c>
    </row>
    <row r="1335" spans="1:3" x14ac:dyDescent="0.25">
      <c r="A1335">
        <v>1334</v>
      </c>
      <c r="B1335">
        <v>1334</v>
      </c>
      <c r="C1335" t="s">
        <v>3568</v>
      </c>
    </row>
    <row r="1336" spans="1:3" x14ac:dyDescent="0.25">
      <c r="A1336">
        <v>1335</v>
      </c>
      <c r="B1336">
        <v>1335</v>
      </c>
      <c r="C1336" t="s">
        <v>3569</v>
      </c>
    </row>
    <row r="1337" spans="1:3" x14ac:dyDescent="0.25">
      <c r="A1337">
        <v>1336</v>
      </c>
      <c r="B1337">
        <v>1336</v>
      </c>
      <c r="C1337" t="s">
        <v>3570</v>
      </c>
    </row>
    <row r="1338" spans="1:3" x14ac:dyDescent="0.25">
      <c r="A1338">
        <v>1337</v>
      </c>
      <c r="B1338">
        <v>1337</v>
      </c>
      <c r="C1338" t="s">
        <v>1241</v>
      </c>
    </row>
    <row r="1339" spans="1:3" x14ac:dyDescent="0.25">
      <c r="A1339">
        <v>1338</v>
      </c>
      <c r="B1339">
        <v>1338</v>
      </c>
      <c r="C1339" t="s">
        <v>3571</v>
      </c>
    </row>
    <row r="1340" spans="1:3" x14ac:dyDescent="0.25">
      <c r="A1340">
        <v>1339</v>
      </c>
      <c r="B1340">
        <v>1339</v>
      </c>
      <c r="C1340" t="s">
        <v>1250</v>
      </c>
    </row>
    <row r="1341" spans="1:3" x14ac:dyDescent="0.25">
      <c r="A1341">
        <v>1340</v>
      </c>
      <c r="B1341">
        <v>1340</v>
      </c>
      <c r="C1341" t="s">
        <v>3572</v>
      </c>
    </row>
    <row r="1342" spans="1:3" x14ac:dyDescent="0.25">
      <c r="A1342">
        <v>1341</v>
      </c>
      <c r="B1342">
        <v>1341</v>
      </c>
      <c r="C1342" t="s">
        <v>3573</v>
      </c>
    </row>
    <row r="1343" spans="1:3" x14ac:dyDescent="0.25">
      <c r="A1343">
        <v>1342</v>
      </c>
      <c r="B1343">
        <v>1342</v>
      </c>
      <c r="C1343" t="s">
        <v>3574</v>
      </c>
    </row>
    <row r="1344" spans="1:3" x14ac:dyDescent="0.25">
      <c r="A1344">
        <v>1343</v>
      </c>
      <c r="B1344">
        <v>1343</v>
      </c>
      <c r="C1344" t="s">
        <v>1350</v>
      </c>
    </row>
    <row r="1345" spans="1:3" x14ac:dyDescent="0.25">
      <c r="A1345">
        <v>1344</v>
      </c>
      <c r="B1345">
        <v>1344</v>
      </c>
      <c r="C1345" t="s">
        <v>3575</v>
      </c>
    </row>
    <row r="1346" spans="1:3" x14ac:dyDescent="0.25">
      <c r="A1346">
        <v>1345</v>
      </c>
      <c r="B1346">
        <v>1345</v>
      </c>
      <c r="C1346" t="s">
        <v>3576</v>
      </c>
    </row>
    <row r="1347" spans="1:3" x14ac:dyDescent="0.25">
      <c r="A1347">
        <v>1346</v>
      </c>
      <c r="B1347">
        <v>1346</v>
      </c>
      <c r="C1347" t="s">
        <v>3577</v>
      </c>
    </row>
    <row r="1348" spans="1:3" x14ac:dyDescent="0.25">
      <c r="A1348">
        <v>1347</v>
      </c>
      <c r="B1348">
        <v>1347</v>
      </c>
      <c r="C1348" t="s">
        <v>3578</v>
      </c>
    </row>
    <row r="1349" spans="1:3" x14ac:dyDescent="0.25">
      <c r="A1349">
        <v>1348</v>
      </c>
      <c r="B1349">
        <v>1348</v>
      </c>
      <c r="C1349" t="s">
        <v>3579</v>
      </c>
    </row>
    <row r="1350" spans="1:3" x14ac:dyDescent="0.25">
      <c r="A1350">
        <v>1349</v>
      </c>
      <c r="B1350">
        <v>1349</v>
      </c>
      <c r="C1350" t="s">
        <v>3580</v>
      </c>
    </row>
    <row r="1351" spans="1:3" x14ac:dyDescent="0.25">
      <c r="A1351">
        <v>1350</v>
      </c>
      <c r="B1351">
        <v>1350</v>
      </c>
      <c r="C1351" t="s">
        <v>3581</v>
      </c>
    </row>
    <row r="1352" spans="1:3" x14ac:dyDescent="0.25">
      <c r="A1352">
        <v>1351</v>
      </c>
      <c r="B1352">
        <v>1351</v>
      </c>
      <c r="C1352" t="s">
        <v>306</v>
      </c>
    </row>
    <row r="1353" spans="1:3" x14ac:dyDescent="0.25">
      <c r="A1353">
        <v>1352</v>
      </c>
      <c r="B1353">
        <v>1352</v>
      </c>
      <c r="C1353" t="s">
        <v>3582</v>
      </c>
    </row>
    <row r="1354" spans="1:3" x14ac:dyDescent="0.25">
      <c r="A1354">
        <v>1353</v>
      </c>
      <c r="B1354">
        <v>1353</v>
      </c>
      <c r="C1354" t="s">
        <v>3583</v>
      </c>
    </row>
    <row r="1355" spans="1:3" x14ac:dyDescent="0.25">
      <c r="A1355">
        <v>1354</v>
      </c>
      <c r="B1355">
        <v>1354</v>
      </c>
    </row>
    <row r="1356" spans="1:3" x14ac:dyDescent="0.25">
      <c r="A1356">
        <v>1355</v>
      </c>
      <c r="B1356">
        <v>1355</v>
      </c>
      <c r="C1356" t="s">
        <v>3584</v>
      </c>
    </row>
    <row r="1357" spans="1:3" x14ac:dyDescent="0.25">
      <c r="A1357">
        <v>1356</v>
      </c>
      <c r="B1357">
        <v>1356</v>
      </c>
      <c r="C1357" t="s">
        <v>3585</v>
      </c>
    </row>
    <row r="1358" spans="1:3" x14ac:dyDescent="0.25">
      <c r="A1358">
        <v>1357</v>
      </c>
      <c r="B1358">
        <v>1357</v>
      </c>
      <c r="C1358" t="s">
        <v>3586</v>
      </c>
    </row>
    <row r="1359" spans="1:3" x14ac:dyDescent="0.25">
      <c r="A1359">
        <v>1358</v>
      </c>
      <c r="B1359">
        <v>1358</v>
      </c>
      <c r="C1359" t="s">
        <v>3587</v>
      </c>
    </row>
    <row r="1360" spans="1:3" x14ac:dyDescent="0.25">
      <c r="A1360">
        <v>1359</v>
      </c>
      <c r="B1360">
        <v>1359</v>
      </c>
      <c r="C1360" t="s">
        <v>3588</v>
      </c>
    </row>
    <row r="1361" spans="1:3" x14ac:dyDescent="0.25">
      <c r="A1361">
        <v>1360</v>
      </c>
      <c r="B1361">
        <v>1360</v>
      </c>
    </row>
    <row r="1362" spans="1:3" x14ac:dyDescent="0.25">
      <c r="A1362">
        <v>1361</v>
      </c>
      <c r="B1362">
        <v>1361</v>
      </c>
      <c r="C1362" t="s">
        <v>3589</v>
      </c>
    </row>
    <row r="1363" spans="1:3" x14ac:dyDescent="0.25">
      <c r="A1363">
        <v>1362</v>
      </c>
      <c r="B1363">
        <v>1362</v>
      </c>
      <c r="C1363" t="s">
        <v>3590</v>
      </c>
    </row>
    <row r="1364" spans="1:3" x14ac:dyDescent="0.25">
      <c r="A1364">
        <v>1363</v>
      </c>
      <c r="B1364">
        <v>1363</v>
      </c>
      <c r="C1364" t="s">
        <v>3591</v>
      </c>
    </row>
    <row r="1365" spans="1:3" x14ac:dyDescent="0.25">
      <c r="A1365">
        <v>1364</v>
      </c>
      <c r="B1365">
        <v>1364</v>
      </c>
      <c r="C1365" t="s">
        <v>3592</v>
      </c>
    </row>
    <row r="1366" spans="1:3" x14ac:dyDescent="0.25">
      <c r="A1366">
        <v>1365</v>
      </c>
      <c r="B1366">
        <v>1365</v>
      </c>
      <c r="C1366" t="s">
        <v>3593</v>
      </c>
    </row>
    <row r="1367" spans="1:3" x14ac:dyDescent="0.25">
      <c r="A1367">
        <v>1366</v>
      </c>
      <c r="B1367">
        <v>1366</v>
      </c>
      <c r="C1367" t="s">
        <v>3594</v>
      </c>
    </row>
    <row r="1368" spans="1:3" x14ac:dyDescent="0.25">
      <c r="A1368">
        <v>1367</v>
      </c>
      <c r="B1368">
        <v>1367</v>
      </c>
      <c r="C1368" t="s">
        <v>306</v>
      </c>
    </row>
    <row r="1369" spans="1:3" x14ac:dyDescent="0.25">
      <c r="A1369">
        <v>1368</v>
      </c>
      <c r="B1369">
        <v>1368</v>
      </c>
      <c r="C1369" t="s">
        <v>3595</v>
      </c>
    </row>
    <row r="1370" spans="1:3" x14ac:dyDescent="0.25">
      <c r="A1370">
        <v>1369</v>
      </c>
      <c r="B1370">
        <v>1369</v>
      </c>
      <c r="C1370" t="s">
        <v>3596</v>
      </c>
    </row>
    <row r="1371" spans="1:3" x14ac:dyDescent="0.25">
      <c r="A1371">
        <v>1370</v>
      </c>
      <c r="B1371">
        <v>1370</v>
      </c>
      <c r="C1371" t="s">
        <v>3597</v>
      </c>
    </row>
    <row r="1372" spans="1:3" x14ac:dyDescent="0.25">
      <c r="A1372">
        <v>1371</v>
      </c>
      <c r="B1372">
        <v>1371</v>
      </c>
      <c r="C1372" t="s">
        <v>3598</v>
      </c>
    </row>
    <row r="1373" spans="1:3" x14ac:dyDescent="0.25">
      <c r="A1373">
        <v>1372</v>
      </c>
      <c r="B1373">
        <v>1372</v>
      </c>
      <c r="C1373" t="s">
        <v>3599</v>
      </c>
    </row>
    <row r="1374" spans="1:3" x14ac:dyDescent="0.25">
      <c r="A1374">
        <v>1373</v>
      </c>
      <c r="B1374">
        <v>1373</v>
      </c>
      <c r="C1374" t="s">
        <v>3600</v>
      </c>
    </row>
    <row r="1375" spans="1:3" x14ac:dyDescent="0.25">
      <c r="A1375">
        <v>1374</v>
      </c>
      <c r="B1375">
        <v>1374</v>
      </c>
      <c r="C1375" t="s">
        <v>3601</v>
      </c>
    </row>
    <row r="1376" spans="1:3" x14ac:dyDescent="0.25">
      <c r="A1376">
        <v>1375</v>
      </c>
      <c r="B1376">
        <v>1375</v>
      </c>
      <c r="C1376" t="s">
        <v>3602</v>
      </c>
    </row>
    <row r="1377" spans="1:3" x14ac:dyDescent="0.25">
      <c r="A1377">
        <v>1376</v>
      </c>
      <c r="B1377">
        <v>1376</v>
      </c>
      <c r="C1377" t="s">
        <v>21</v>
      </c>
    </row>
    <row r="1378" spans="1:3" x14ac:dyDescent="0.25">
      <c r="A1378">
        <v>1377</v>
      </c>
      <c r="B1378">
        <v>1377</v>
      </c>
    </row>
    <row r="1379" spans="1:3" x14ac:dyDescent="0.25">
      <c r="A1379">
        <v>1378</v>
      </c>
      <c r="B1379">
        <v>1378</v>
      </c>
      <c r="C1379" t="s">
        <v>3603</v>
      </c>
    </row>
    <row r="1380" spans="1:3" x14ac:dyDescent="0.25">
      <c r="A1380">
        <v>1379</v>
      </c>
      <c r="B1380">
        <v>1379</v>
      </c>
      <c r="C1380" t="s">
        <v>3604</v>
      </c>
    </row>
    <row r="1381" spans="1:3" x14ac:dyDescent="0.25">
      <c r="A1381">
        <v>1380</v>
      </c>
      <c r="B1381">
        <v>1380</v>
      </c>
      <c r="C1381" t="s">
        <v>3605</v>
      </c>
    </row>
    <row r="1382" spans="1:3" x14ac:dyDescent="0.25">
      <c r="A1382">
        <v>1381</v>
      </c>
      <c r="B1382">
        <v>1381</v>
      </c>
      <c r="C1382" t="s">
        <v>3606</v>
      </c>
    </row>
    <row r="1383" spans="1:3" x14ac:dyDescent="0.25">
      <c r="A1383">
        <v>1382</v>
      </c>
      <c r="B1383">
        <v>1382</v>
      </c>
      <c r="C1383" t="s">
        <v>3607</v>
      </c>
    </row>
    <row r="1384" spans="1:3" x14ac:dyDescent="0.25">
      <c r="A1384">
        <v>1383</v>
      </c>
      <c r="B1384">
        <v>1383</v>
      </c>
      <c r="C1384" t="s">
        <v>3608</v>
      </c>
    </row>
    <row r="1385" spans="1:3" x14ac:dyDescent="0.25">
      <c r="A1385">
        <v>1384</v>
      </c>
      <c r="B1385">
        <v>1384</v>
      </c>
      <c r="C1385" t="s">
        <v>3609</v>
      </c>
    </row>
    <row r="1386" spans="1:3" x14ac:dyDescent="0.25">
      <c r="A1386">
        <v>1385</v>
      </c>
      <c r="B1386">
        <v>1385</v>
      </c>
      <c r="C1386" t="s">
        <v>21</v>
      </c>
    </row>
    <row r="1387" spans="1:3" x14ac:dyDescent="0.25">
      <c r="A1387">
        <v>1386</v>
      </c>
      <c r="B1387">
        <v>1386</v>
      </c>
    </row>
    <row r="1388" spans="1:3" x14ac:dyDescent="0.25">
      <c r="A1388">
        <v>1387</v>
      </c>
      <c r="B1388">
        <v>1387</v>
      </c>
      <c r="C1388" t="s">
        <v>3610</v>
      </c>
    </row>
    <row r="1389" spans="1:3" x14ac:dyDescent="0.25">
      <c r="A1389">
        <v>1388</v>
      </c>
      <c r="B1389">
        <v>1388</v>
      </c>
      <c r="C1389" t="s">
        <v>3611</v>
      </c>
    </row>
    <row r="1390" spans="1:3" x14ac:dyDescent="0.25">
      <c r="A1390">
        <v>1389</v>
      </c>
      <c r="B1390">
        <v>1389</v>
      </c>
      <c r="C1390" t="s">
        <v>3612</v>
      </c>
    </row>
    <row r="1391" spans="1:3" x14ac:dyDescent="0.25">
      <c r="A1391">
        <v>1390</v>
      </c>
      <c r="B1391">
        <v>1390</v>
      </c>
      <c r="C1391" t="s">
        <v>3613</v>
      </c>
    </row>
    <row r="1392" spans="1:3" x14ac:dyDescent="0.25">
      <c r="A1392">
        <v>1391</v>
      </c>
      <c r="B1392">
        <v>1391</v>
      </c>
      <c r="C1392" t="s">
        <v>3614</v>
      </c>
    </row>
    <row r="1393" spans="1:3" x14ac:dyDescent="0.25">
      <c r="A1393">
        <v>1392</v>
      </c>
      <c r="B1393">
        <v>1392</v>
      </c>
      <c r="C1393" t="s">
        <v>3615</v>
      </c>
    </row>
    <row r="1394" spans="1:3" x14ac:dyDescent="0.25">
      <c r="A1394">
        <v>1393</v>
      </c>
      <c r="B1394">
        <v>1393</v>
      </c>
      <c r="C1394" t="s">
        <v>3616</v>
      </c>
    </row>
    <row r="1395" spans="1:3" x14ac:dyDescent="0.25">
      <c r="A1395">
        <v>1394</v>
      </c>
      <c r="B1395">
        <v>1394</v>
      </c>
      <c r="C1395" t="s">
        <v>3609</v>
      </c>
    </row>
    <row r="1396" spans="1:3" x14ac:dyDescent="0.25">
      <c r="A1396">
        <v>1395</v>
      </c>
      <c r="B1396">
        <v>1395</v>
      </c>
      <c r="C1396" t="s">
        <v>3617</v>
      </c>
    </row>
    <row r="1397" spans="1:3" x14ac:dyDescent="0.25">
      <c r="A1397">
        <v>1396</v>
      </c>
      <c r="B1397">
        <v>1396</v>
      </c>
      <c r="C1397" t="s">
        <v>3618</v>
      </c>
    </row>
    <row r="1398" spans="1:3" x14ac:dyDescent="0.25">
      <c r="A1398">
        <v>1397</v>
      </c>
      <c r="B1398">
        <v>1397</v>
      </c>
      <c r="C1398" t="s">
        <v>3619</v>
      </c>
    </row>
    <row r="1399" spans="1:3" x14ac:dyDescent="0.25">
      <c r="A1399">
        <v>1398</v>
      </c>
      <c r="B1399">
        <v>1398</v>
      </c>
      <c r="C1399" t="s">
        <v>21</v>
      </c>
    </row>
    <row r="1400" spans="1:3" x14ac:dyDescent="0.25">
      <c r="A1400">
        <v>1399</v>
      </c>
      <c r="B1400">
        <v>1399</v>
      </c>
    </row>
    <row r="1401" spans="1:3" x14ac:dyDescent="0.25">
      <c r="A1401">
        <v>1400</v>
      </c>
      <c r="B1401">
        <v>1400</v>
      </c>
    </row>
    <row r="1402" spans="1:3" x14ac:dyDescent="0.25">
      <c r="A1402">
        <v>1401</v>
      </c>
      <c r="B1402">
        <v>1401</v>
      </c>
      <c r="C1402" t="s">
        <v>3620</v>
      </c>
    </row>
    <row r="1403" spans="1:3" x14ac:dyDescent="0.25">
      <c r="A1403">
        <v>1402</v>
      </c>
      <c r="B1403">
        <v>1402</v>
      </c>
      <c r="C1403" t="s">
        <v>3621</v>
      </c>
    </row>
    <row r="1404" spans="1:3" x14ac:dyDescent="0.25">
      <c r="A1404">
        <v>1403</v>
      </c>
      <c r="B1404">
        <v>1403</v>
      </c>
      <c r="C1404" t="s">
        <v>494</v>
      </c>
    </row>
    <row r="1405" spans="1:3" x14ac:dyDescent="0.25">
      <c r="A1405">
        <v>1404</v>
      </c>
      <c r="B1405">
        <v>1404</v>
      </c>
      <c r="C1405" t="s">
        <v>3622</v>
      </c>
    </row>
    <row r="1406" spans="1:3" x14ac:dyDescent="0.25">
      <c r="A1406">
        <v>1405</v>
      </c>
      <c r="B1406">
        <v>1405</v>
      </c>
      <c r="C1406" s="1" t="s">
        <v>3623</v>
      </c>
    </row>
    <row r="1407" spans="1:3" x14ac:dyDescent="0.25">
      <c r="A1407">
        <v>1406</v>
      </c>
      <c r="B1407">
        <v>1406</v>
      </c>
      <c r="C1407" t="s">
        <v>3624</v>
      </c>
    </row>
    <row r="1408" spans="1:3" x14ac:dyDescent="0.25">
      <c r="A1408">
        <v>1407</v>
      </c>
      <c r="B1408">
        <v>1407</v>
      </c>
      <c r="C1408" s="1" t="s">
        <v>3625</v>
      </c>
    </row>
    <row r="1409" spans="1:4" x14ac:dyDescent="0.25">
      <c r="A1409">
        <v>1408</v>
      </c>
      <c r="B1409">
        <v>1408</v>
      </c>
      <c r="C1409" t="s">
        <v>3626</v>
      </c>
    </row>
    <row r="1410" spans="1:4" x14ac:dyDescent="0.25">
      <c r="A1410">
        <v>1409</v>
      </c>
      <c r="B1410">
        <v>1409</v>
      </c>
      <c r="C1410" t="s">
        <v>3343</v>
      </c>
      <c r="D1410" t="s">
        <v>3344</v>
      </c>
    </row>
    <row r="1411" spans="1:4" x14ac:dyDescent="0.25">
      <c r="A1411">
        <v>1410</v>
      </c>
      <c r="B1411">
        <v>1410</v>
      </c>
      <c r="C1411" t="s">
        <v>3627</v>
      </c>
    </row>
    <row r="1412" spans="1:4" x14ac:dyDescent="0.25">
      <c r="A1412">
        <v>1411</v>
      </c>
      <c r="B1412">
        <v>1411</v>
      </c>
      <c r="C1412" s="1" t="s">
        <v>3628</v>
      </c>
    </row>
    <row r="1413" spans="1:4" x14ac:dyDescent="0.25">
      <c r="A1413">
        <v>1412</v>
      </c>
      <c r="B1413">
        <v>1412</v>
      </c>
      <c r="C1413" t="s">
        <v>3629</v>
      </c>
      <c r="D1413" t="s">
        <v>3630</v>
      </c>
    </row>
    <row r="1414" spans="1:4" x14ac:dyDescent="0.25">
      <c r="A1414">
        <v>1413</v>
      </c>
      <c r="B1414">
        <v>1413</v>
      </c>
      <c r="C1414" t="s">
        <v>3631</v>
      </c>
    </row>
    <row r="1415" spans="1:4" x14ac:dyDescent="0.25">
      <c r="A1415">
        <v>1414</v>
      </c>
      <c r="B1415">
        <v>1414</v>
      </c>
      <c r="C1415" t="s">
        <v>3632</v>
      </c>
    </row>
    <row r="1416" spans="1:4" x14ac:dyDescent="0.25">
      <c r="A1416">
        <v>1415</v>
      </c>
      <c r="B1416">
        <v>1415</v>
      </c>
      <c r="C1416" t="s">
        <v>3633</v>
      </c>
    </row>
    <row r="1417" spans="1:4" x14ac:dyDescent="0.25">
      <c r="A1417">
        <v>1416</v>
      </c>
      <c r="B1417">
        <v>1416</v>
      </c>
      <c r="C1417" t="s">
        <v>3634</v>
      </c>
    </row>
    <row r="1418" spans="1:4" x14ac:dyDescent="0.25">
      <c r="A1418">
        <v>1417</v>
      </c>
      <c r="B1418">
        <v>1417</v>
      </c>
      <c r="C1418" t="s">
        <v>3635</v>
      </c>
    </row>
    <row r="1419" spans="1:4" x14ac:dyDescent="0.25">
      <c r="A1419">
        <v>1418</v>
      </c>
      <c r="B1419">
        <v>1418</v>
      </c>
      <c r="C1419" t="s">
        <v>3636</v>
      </c>
    </row>
    <row r="1420" spans="1:4" x14ac:dyDescent="0.25">
      <c r="A1420">
        <v>1419</v>
      </c>
      <c r="B1420">
        <v>1419</v>
      </c>
      <c r="C1420" t="s">
        <v>3637</v>
      </c>
    </row>
    <row r="1421" spans="1:4" x14ac:dyDescent="0.25">
      <c r="A1421">
        <v>1420</v>
      </c>
      <c r="B1421">
        <v>1420</v>
      </c>
      <c r="C1421" t="s">
        <v>3636</v>
      </c>
    </row>
    <row r="1422" spans="1:4" x14ac:dyDescent="0.25">
      <c r="A1422">
        <v>1421</v>
      </c>
      <c r="B1422">
        <v>1421</v>
      </c>
      <c r="C1422" t="s">
        <v>3638</v>
      </c>
    </row>
    <row r="1423" spans="1:4" x14ac:dyDescent="0.25">
      <c r="A1423">
        <v>1422</v>
      </c>
      <c r="B1423">
        <v>1422</v>
      </c>
      <c r="C1423" t="s">
        <v>3639</v>
      </c>
    </row>
    <row r="1424" spans="1:4" x14ac:dyDescent="0.25">
      <c r="A1424">
        <v>1423</v>
      </c>
      <c r="B1424">
        <v>1423</v>
      </c>
      <c r="C1424" t="s">
        <v>3640</v>
      </c>
    </row>
    <row r="1425" spans="1:3" x14ac:dyDescent="0.25">
      <c r="A1425">
        <v>1424</v>
      </c>
      <c r="B1425">
        <v>1424</v>
      </c>
      <c r="C1425" t="s">
        <v>3641</v>
      </c>
    </row>
    <row r="1426" spans="1:3" x14ac:dyDescent="0.25">
      <c r="A1426">
        <v>1425</v>
      </c>
      <c r="B1426">
        <v>1425</v>
      </c>
      <c r="C1426" t="s">
        <v>3642</v>
      </c>
    </row>
    <row r="1427" spans="1:3" x14ac:dyDescent="0.25">
      <c r="A1427">
        <v>1426</v>
      </c>
      <c r="B1427">
        <v>1426</v>
      </c>
      <c r="C1427" t="s">
        <v>3643</v>
      </c>
    </row>
    <row r="1428" spans="1:3" x14ac:dyDescent="0.25">
      <c r="A1428">
        <v>1427</v>
      </c>
      <c r="B1428">
        <v>1427</v>
      </c>
      <c r="C1428" t="s">
        <v>3644</v>
      </c>
    </row>
    <row r="1429" spans="1:3" x14ac:dyDescent="0.25">
      <c r="A1429">
        <v>1428</v>
      </c>
      <c r="B1429">
        <v>1428</v>
      </c>
      <c r="C1429" t="s">
        <v>3645</v>
      </c>
    </row>
    <row r="1430" spans="1:3" x14ac:dyDescent="0.25">
      <c r="A1430">
        <v>1429</v>
      </c>
      <c r="B1430">
        <v>1429</v>
      </c>
      <c r="C1430" t="s">
        <v>1214</v>
      </c>
    </row>
    <row r="1431" spans="1:3" x14ac:dyDescent="0.25">
      <c r="A1431">
        <v>1430</v>
      </c>
      <c r="B1431">
        <v>1430</v>
      </c>
      <c r="C1431" t="s">
        <v>3646</v>
      </c>
    </row>
    <row r="1432" spans="1:3" x14ac:dyDescent="0.25">
      <c r="A1432">
        <v>1431</v>
      </c>
      <c r="B1432">
        <v>1431</v>
      </c>
      <c r="C1432" t="s">
        <v>21</v>
      </c>
    </row>
    <row r="1433" spans="1:3" x14ac:dyDescent="0.25">
      <c r="A1433">
        <v>1432</v>
      </c>
      <c r="B1433">
        <v>1432</v>
      </c>
    </row>
    <row r="1434" spans="1:3" x14ac:dyDescent="0.25">
      <c r="A1434">
        <v>1433</v>
      </c>
      <c r="B1434">
        <v>1433</v>
      </c>
      <c r="C1434" t="s">
        <v>3647</v>
      </c>
    </row>
    <row r="1435" spans="1:3" x14ac:dyDescent="0.25">
      <c r="A1435">
        <v>1434</v>
      </c>
      <c r="B1435">
        <v>1434</v>
      </c>
      <c r="C1435" t="s">
        <v>3648</v>
      </c>
    </row>
    <row r="1436" spans="1:3" x14ac:dyDescent="0.25">
      <c r="A1436">
        <v>1435</v>
      </c>
      <c r="B1436">
        <v>1435</v>
      </c>
      <c r="C1436" t="s">
        <v>3649</v>
      </c>
    </row>
    <row r="1437" spans="1:3" x14ac:dyDescent="0.25">
      <c r="A1437">
        <v>1436</v>
      </c>
      <c r="B1437">
        <v>1436</v>
      </c>
      <c r="C1437" t="s">
        <v>3650</v>
      </c>
    </row>
    <row r="1438" spans="1:3" x14ac:dyDescent="0.25">
      <c r="A1438">
        <v>1437</v>
      </c>
      <c r="B1438">
        <v>1437</v>
      </c>
      <c r="C1438" t="s">
        <v>3651</v>
      </c>
    </row>
    <row r="1439" spans="1:3" x14ac:dyDescent="0.25">
      <c r="A1439">
        <v>1438</v>
      </c>
      <c r="B1439">
        <v>1438</v>
      </c>
      <c r="C1439" t="s">
        <v>3652</v>
      </c>
    </row>
    <row r="1440" spans="1:3" x14ac:dyDescent="0.25">
      <c r="A1440">
        <v>1439</v>
      </c>
      <c r="B1440">
        <v>1439</v>
      </c>
      <c r="C1440" t="s">
        <v>3653</v>
      </c>
    </row>
    <row r="1441" spans="1:4" x14ac:dyDescent="0.25">
      <c r="A1441">
        <v>1440</v>
      </c>
      <c r="B1441">
        <v>1440</v>
      </c>
      <c r="C1441" t="s">
        <v>3654</v>
      </c>
    </row>
    <row r="1442" spans="1:4" x14ac:dyDescent="0.25">
      <c r="A1442">
        <v>1441</v>
      </c>
      <c r="B1442">
        <v>1441</v>
      </c>
      <c r="C1442" t="s">
        <v>3655</v>
      </c>
    </row>
    <row r="1443" spans="1:4" x14ac:dyDescent="0.25">
      <c r="A1443">
        <v>1442</v>
      </c>
      <c r="B1443">
        <v>1442</v>
      </c>
      <c r="C1443" t="s">
        <v>3656</v>
      </c>
    </row>
    <row r="1444" spans="1:4" x14ac:dyDescent="0.25">
      <c r="A1444">
        <v>1443</v>
      </c>
      <c r="B1444">
        <v>1443</v>
      </c>
      <c r="C1444" t="s">
        <v>3657</v>
      </c>
    </row>
    <row r="1445" spans="1:4" x14ac:dyDescent="0.25">
      <c r="A1445">
        <v>1444</v>
      </c>
      <c r="B1445">
        <v>1444</v>
      </c>
      <c r="C1445" t="s">
        <v>3658</v>
      </c>
    </row>
    <row r="1446" spans="1:4" x14ac:dyDescent="0.25">
      <c r="A1446">
        <v>1445</v>
      </c>
      <c r="B1446">
        <v>1445</v>
      </c>
      <c r="C1446" t="s">
        <v>3659</v>
      </c>
    </row>
    <row r="1447" spans="1:4" x14ac:dyDescent="0.25">
      <c r="A1447">
        <v>1446</v>
      </c>
      <c r="B1447">
        <v>1446</v>
      </c>
      <c r="C1447" t="s">
        <v>3660</v>
      </c>
    </row>
    <row r="1448" spans="1:4" x14ac:dyDescent="0.25">
      <c r="A1448">
        <v>1447</v>
      </c>
      <c r="B1448">
        <v>1447</v>
      </c>
      <c r="C1448" t="s">
        <v>3661</v>
      </c>
      <c r="D1448" t="s">
        <v>3662</v>
      </c>
    </row>
    <row r="1449" spans="1:4" x14ac:dyDescent="0.25">
      <c r="A1449">
        <v>1448</v>
      </c>
      <c r="B1449">
        <v>1448</v>
      </c>
      <c r="C1449" t="s">
        <v>3663</v>
      </c>
    </row>
    <row r="1450" spans="1:4" x14ac:dyDescent="0.25">
      <c r="A1450">
        <v>1449</v>
      </c>
      <c r="B1450">
        <v>1449</v>
      </c>
      <c r="C1450" t="s">
        <v>3664</v>
      </c>
    </row>
    <row r="1451" spans="1:4" x14ac:dyDescent="0.25">
      <c r="A1451">
        <v>1450</v>
      </c>
      <c r="B1451">
        <v>1450</v>
      </c>
      <c r="C1451" t="s">
        <v>3665</v>
      </c>
    </row>
    <row r="1452" spans="1:4" x14ac:dyDescent="0.25">
      <c r="A1452">
        <v>1451</v>
      </c>
      <c r="B1452">
        <v>1451</v>
      </c>
      <c r="C1452" t="s">
        <v>3666</v>
      </c>
    </row>
    <row r="1453" spans="1:4" x14ac:dyDescent="0.25">
      <c r="A1453">
        <v>1452</v>
      </c>
      <c r="B1453">
        <v>1452</v>
      </c>
      <c r="C1453" t="s">
        <v>3667</v>
      </c>
    </row>
    <row r="1454" spans="1:4" x14ac:dyDescent="0.25">
      <c r="A1454">
        <v>1453</v>
      </c>
      <c r="B1454">
        <v>1453</v>
      </c>
      <c r="C1454" t="s">
        <v>3668</v>
      </c>
    </row>
    <row r="1455" spans="1:4" x14ac:dyDescent="0.25">
      <c r="A1455">
        <v>1454</v>
      </c>
      <c r="B1455">
        <v>1454</v>
      </c>
      <c r="C1455" t="s">
        <v>3669</v>
      </c>
    </row>
    <row r="1456" spans="1:4" x14ac:dyDescent="0.25">
      <c r="A1456">
        <v>1455</v>
      </c>
      <c r="B1456">
        <v>1455</v>
      </c>
      <c r="C1456" t="s">
        <v>3670</v>
      </c>
    </row>
    <row r="1457" spans="1:3" x14ac:dyDescent="0.25">
      <c r="A1457">
        <v>1456</v>
      </c>
      <c r="B1457">
        <v>1456</v>
      </c>
      <c r="C1457" t="s">
        <v>478</v>
      </c>
    </row>
    <row r="1458" spans="1:3" x14ac:dyDescent="0.25">
      <c r="A1458">
        <v>1457</v>
      </c>
      <c r="B1458">
        <v>1457</v>
      </c>
      <c r="C1458" t="s">
        <v>3671</v>
      </c>
    </row>
    <row r="1459" spans="1:3" x14ac:dyDescent="0.25">
      <c r="A1459">
        <v>1458</v>
      </c>
      <c r="B1459">
        <v>1458</v>
      </c>
      <c r="C1459" t="s">
        <v>479</v>
      </c>
    </row>
    <row r="1460" spans="1:3" x14ac:dyDescent="0.25">
      <c r="A1460">
        <v>1459</v>
      </c>
      <c r="B1460">
        <v>1459</v>
      </c>
    </row>
    <row r="1461" spans="1:3" x14ac:dyDescent="0.25">
      <c r="A1461">
        <v>1460</v>
      </c>
      <c r="B1461">
        <v>1460</v>
      </c>
      <c r="C1461" t="s">
        <v>3672</v>
      </c>
    </row>
    <row r="1462" spans="1:3" x14ac:dyDescent="0.25">
      <c r="A1462">
        <v>1461</v>
      </c>
      <c r="B1462">
        <v>1461</v>
      </c>
      <c r="C1462" t="s">
        <v>3673</v>
      </c>
    </row>
    <row r="1463" spans="1:3" x14ac:dyDescent="0.25">
      <c r="A1463">
        <v>1462</v>
      </c>
      <c r="B1463">
        <v>1462</v>
      </c>
      <c r="C1463" t="s">
        <v>3674</v>
      </c>
    </row>
    <row r="1464" spans="1:3" x14ac:dyDescent="0.25">
      <c r="A1464">
        <v>1463</v>
      </c>
      <c r="B1464">
        <v>1463</v>
      </c>
      <c r="C1464" t="s">
        <v>3675</v>
      </c>
    </row>
    <row r="1465" spans="1:3" x14ac:dyDescent="0.25">
      <c r="A1465">
        <v>1464</v>
      </c>
      <c r="B1465">
        <v>1464</v>
      </c>
      <c r="C1465" t="s">
        <v>3676</v>
      </c>
    </row>
    <row r="1466" spans="1:3" x14ac:dyDescent="0.25">
      <c r="A1466">
        <v>1465</v>
      </c>
      <c r="B1466">
        <v>1465</v>
      </c>
      <c r="C1466" t="s">
        <v>3677</v>
      </c>
    </row>
    <row r="1467" spans="1:3" x14ac:dyDescent="0.25">
      <c r="A1467">
        <v>1466</v>
      </c>
      <c r="B1467">
        <v>1466</v>
      </c>
      <c r="C1467" t="s">
        <v>3678</v>
      </c>
    </row>
    <row r="1468" spans="1:3" x14ac:dyDescent="0.25">
      <c r="A1468">
        <v>1467</v>
      </c>
      <c r="B1468">
        <v>1467</v>
      </c>
      <c r="C1468" t="s">
        <v>3679</v>
      </c>
    </row>
    <row r="1469" spans="1:3" x14ac:dyDescent="0.25">
      <c r="A1469">
        <v>1468</v>
      </c>
      <c r="B1469">
        <v>1468</v>
      </c>
      <c r="C1469" t="s">
        <v>3680</v>
      </c>
    </row>
    <row r="1470" spans="1:3" x14ac:dyDescent="0.25">
      <c r="A1470">
        <v>1469</v>
      </c>
      <c r="B1470">
        <v>1469</v>
      </c>
      <c r="C1470" t="s">
        <v>3681</v>
      </c>
    </row>
    <row r="1471" spans="1:3" x14ac:dyDescent="0.25">
      <c r="A1471">
        <v>1470</v>
      </c>
      <c r="B1471">
        <v>1470</v>
      </c>
      <c r="C1471" t="s">
        <v>3682</v>
      </c>
    </row>
    <row r="1472" spans="1:3" x14ac:dyDescent="0.25">
      <c r="A1472">
        <v>1471</v>
      </c>
      <c r="B1472">
        <v>1471</v>
      </c>
      <c r="C1472" t="s">
        <v>3683</v>
      </c>
    </row>
    <row r="1473" spans="1:3" x14ac:dyDescent="0.25">
      <c r="A1473">
        <v>1472</v>
      </c>
      <c r="B1473">
        <v>1472</v>
      </c>
      <c r="C1473" t="s">
        <v>3684</v>
      </c>
    </row>
    <row r="1474" spans="1:3" x14ac:dyDescent="0.25">
      <c r="A1474">
        <v>1473</v>
      </c>
      <c r="B1474">
        <v>1473</v>
      </c>
      <c r="C1474" t="s">
        <v>3685</v>
      </c>
    </row>
    <row r="1475" spans="1:3" x14ac:dyDescent="0.25">
      <c r="A1475">
        <v>1474</v>
      </c>
      <c r="B1475">
        <v>1474</v>
      </c>
      <c r="C1475" t="s">
        <v>3686</v>
      </c>
    </row>
    <row r="1476" spans="1:3" x14ac:dyDescent="0.25">
      <c r="A1476">
        <v>1475</v>
      </c>
      <c r="B1476">
        <v>1475</v>
      </c>
      <c r="C1476" t="s">
        <v>3687</v>
      </c>
    </row>
    <row r="1477" spans="1:3" x14ac:dyDescent="0.25">
      <c r="A1477">
        <v>1476</v>
      </c>
      <c r="B1477">
        <v>1476</v>
      </c>
      <c r="C1477" t="s">
        <v>2167</v>
      </c>
    </row>
    <row r="1478" spans="1:3" x14ac:dyDescent="0.25">
      <c r="A1478">
        <v>1477</v>
      </c>
      <c r="B1478">
        <v>1477</v>
      </c>
    </row>
    <row r="1479" spans="1:3" x14ac:dyDescent="0.25">
      <c r="A1479">
        <v>1478</v>
      </c>
      <c r="B1479">
        <v>1478</v>
      </c>
      <c r="C1479" t="s">
        <v>3688</v>
      </c>
    </row>
    <row r="1480" spans="1:3" x14ac:dyDescent="0.25">
      <c r="A1480">
        <v>1479</v>
      </c>
      <c r="B1480">
        <v>1479</v>
      </c>
      <c r="C1480" s="1" t="s">
        <v>3689</v>
      </c>
    </row>
    <row r="1481" spans="1:3" x14ac:dyDescent="0.25">
      <c r="A1481">
        <v>1480</v>
      </c>
      <c r="B1481">
        <v>1480</v>
      </c>
      <c r="C1481" s="1" t="s">
        <v>3690</v>
      </c>
    </row>
    <row r="1482" spans="1:3" x14ac:dyDescent="0.25">
      <c r="A1482">
        <v>1481</v>
      </c>
      <c r="B1482">
        <v>1481</v>
      </c>
      <c r="C1482" t="s">
        <v>3691</v>
      </c>
    </row>
    <row r="1483" spans="1:3" x14ac:dyDescent="0.25">
      <c r="A1483">
        <v>1482</v>
      </c>
      <c r="B1483">
        <v>1482</v>
      </c>
      <c r="C1483" t="s">
        <v>3692</v>
      </c>
    </row>
    <row r="1484" spans="1:3" x14ac:dyDescent="0.25">
      <c r="A1484">
        <v>1483</v>
      </c>
      <c r="B1484">
        <v>1483</v>
      </c>
      <c r="C1484" t="s">
        <v>3693</v>
      </c>
    </row>
    <row r="1485" spans="1:3" x14ac:dyDescent="0.25">
      <c r="A1485">
        <v>1484</v>
      </c>
      <c r="B1485">
        <v>1484</v>
      </c>
      <c r="C1485" s="1" t="s">
        <v>3694</v>
      </c>
    </row>
    <row r="1486" spans="1:3" x14ac:dyDescent="0.25">
      <c r="A1486">
        <v>1485</v>
      </c>
      <c r="B1486">
        <v>1485</v>
      </c>
      <c r="C1486" t="s">
        <v>3695</v>
      </c>
    </row>
    <row r="1487" spans="1:3" x14ac:dyDescent="0.25">
      <c r="A1487">
        <v>1486</v>
      </c>
      <c r="B1487">
        <v>1486</v>
      </c>
      <c r="C1487" s="1" t="s">
        <v>3696</v>
      </c>
    </row>
    <row r="1488" spans="1:3" x14ac:dyDescent="0.25">
      <c r="A1488">
        <v>1487</v>
      </c>
      <c r="B1488">
        <v>1487</v>
      </c>
      <c r="C1488" t="s">
        <v>3697</v>
      </c>
    </row>
    <row r="1489" spans="1:3" x14ac:dyDescent="0.25">
      <c r="A1489">
        <v>1488</v>
      </c>
      <c r="B1489">
        <v>1488</v>
      </c>
      <c r="C1489" t="s">
        <v>538</v>
      </c>
    </row>
    <row r="1490" spans="1:3" x14ac:dyDescent="0.25">
      <c r="A1490">
        <v>1489</v>
      </c>
      <c r="B1490">
        <v>1489</v>
      </c>
      <c r="C1490" t="s">
        <v>494</v>
      </c>
    </row>
    <row r="1491" spans="1:3" x14ac:dyDescent="0.25">
      <c r="A1491">
        <v>1490</v>
      </c>
      <c r="B1491">
        <v>1490</v>
      </c>
      <c r="C1491" t="s">
        <v>3698</v>
      </c>
    </row>
    <row r="1492" spans="1:3" x14ac:dyDescent="0.25">
      <c r="A1492">
        <v>1491</v>
      </c>
      <c r="B1492">
        <v>1491</v>
      </c>
      <c r="C1492" t="s">
        <v>539</v>
      </c>
    </row>
    <row r="1493" spans="1:3" x14ac:dyDescent="0.25">
      <c r="A1493">
        <v>1492</v>
      </c>
      <c r="B1493">
        <v>1492</v>
      </c>
      <c r="C1493" t="s">
        <v>3699</v>
      </c>
    </row>
    <row r="1494" spans="1:3" x14ac:dyDescent="0.25">
      <c r="A1494">
        <v>1493</v>
      </c>
      <c r="B1494">
        <v>1493</v>
      </c>
      <c r="C1494" t="s">
        <v>3700</v>
      </c>
    </row>
    <row r="1495" spans="1:3" x14ac:dyDescent="0.25">
      <c r="A1495">
        <v>1494</v>
      </c>
      <c r="B1495">
        <v>1494</v>
      </c>
      <c r="C1495" t="s">
        <v>3701</v>
      </c>
    </row>
    <row r="1496" spans="1:3" x14ac:dyDescent="0.25">
      <c r="A1496">
        <v>1495</v>
      </c>
      <c r="B1496">
        <v>1495</v>
      </c>
      <c r="C1496" t="s">
        <v>3702</v>
      </c>
    </row>
    <row r="1497" spans="1:3" x14ac:dyDescent="0.25">
      <c r="A1497">
        <v>1496</v>
      </c>
      <c r="B1497">
        <v>1496</v>
      </c>
      <c r="C1497" t="s">
        <v>3703</v>
      </c>
    </row>
    <row r="1498" spans="1:3" x14ac:dyDescent="0.25">
      <c r="A1498">
        <v>1497</v>
      </c>
      <c r="B1498">
        <v>1497</v>
      </c>
      <c r="C1498" t="s">
        <v>3704</v>
      </c>
    </row>
    <row r="1499" spans="1:3" x14ac:dyDescent="0.25">
      <c r="A1499">
        <v>1498</v>
      </c>
      <c r="B1499">
        <v>1498</v>
      </c>
      <c r="C1499" t="s">
        <v>3705</v>
      </c>
    </row>
    <row r="1500" spans="1:3" x14ac:dyDescent="0.25">
      <c r="A1500">
        <v>1499</v>
      </c>
      <c r="B1500">
        <v>1499</v>
      </c>
      <c r="C1500" t="s">
        <v>3706</v>
      </c>
    </row>
    <row r="1501" spans="1:3" x14ac:dyDescent="0.25">
      <c r="A1501">
        <v>1500</v>
      </c>
      <c r="B1501">
        <v>1500</v>
      </c>
      <c r="C1501" t="s">
        <v>3707</v>
      </c>
    </row>
    <row r="1502" spans="1:3" x14ac:dyDescent="0.25">
      <c r="A1502">
        <v>1501</v>
      </c>
      <c r="B1502">
        <v>1501</v>
      </c>
      <c r="C1502" t="s">
        <v>3708</v>
      </c>
    </row>
    <row r="1503" spans="1:3" x14ac:dyDescent="0.25">
      <c r="A1503">
        <v>1502</v>
      </c>
      <c r="B1503">
        <v>1502</v>
      </c>
      <c r="C1503" t="s">
        <v>3709</v>
      </c>
    </row>
    <row r="1504" spans="1:3" x14ac:dyDescent="0.25">
      <c r="A1504">
        <v>1503</v>
      </c>
      <c r="B1504">
        <v>1503</v>
      </c>
      <c r="C1504" t="s">
        <v>3710</v>
      </c>
    </row>
    <row r="1505" spans="1:3" x14ac:dyDescent="0.25">
      <c r="A1505">
        <v>1504</v>
      </c>
      <c r="B1505">
        <v>1504</v>
      </c>
      <c r="C1505" t="s">
        <v>3711</v>
      </c>
    </row>
    <row r="1506" spans="1:3" x14ac:dyDescent="0.25">
      <c r="A1506">
        <v>1505</v>
      </c>
      <c r="B1506">
        <v>1505</v>
      </c>
      <c r="C1506" t="s">
        <v>3712</v>
      </c>
    </row>
    <row r="1507" spans="1:3" x14ac:dyDescent="0.25">
      <c r="A1507">
        <v>1506</v>
      </c>
      <c r="B1507">
        <v>1506</v>
      </c>
      <c r="C1507" t="s">
        <v>3713</v>
      </c>
    </row>
    <row r="1508" spans="1:3" x14ac:dyDescent="0.25">
      <c r="A1508">
        <v>1507</v>
      </c>
      <c r="B1508">
        <v>1507</v>
      </c>
      <c r="C1508" t="s">
        <v>3714</v>
      </c>
    </row>
    <row r="1509" spans="1:3" x14ac:dyDescent="0.25">
      <c r="A1509">
        <v>1508</v>
      </c>
      <c r="B1509">
        <v>1508</v>
      </c>
      <c r="C1509" t="s">
        <v>3715</v>
      </c>
    </row>
    <row r="1510" spans="1:3" x14ac:dyDescent="0.25">
      <c r="A1510">
        <v>1509</v>
      </c>
      <c r="B1510">
        <v>1509</v>
      </c>
      <c r="C1510" t="s">
        <v>21</v>
      </c>
    </row>
    <row r="1511" spans="1:3" x14ac:dyDescent="0.25">
      <c r="A1511">
        <v>1510</v>
      </c>
      <c r="B1511">
        <v>1510</v>
      </c>
    </row>
    <row r="1512" spans="1:3" x14ac:dyDescent="0.25">
      <c r="A1512">
        <v>1511</v>
      </c>
      <c r="B1512">
        <v>1511</v>
      </c>
      <c r="C1512" t="s">
        <v>3672</v>
      </c>
    </row>
    <row r="1513" spans="1:3" x14ac:dyDescent="0.25">
      <c r="A1513">
        <v>1512</v>
      </c>
      <c r="B1513">
        <v>1512</v>
      </c>
      <c r="C1513" t="s">
        <v>3673</v>
      </c>
    </row>
    <row r="1514" spans="1:3" x14ac:dyDescent="0.25">
      <c r="A1514">
        <v>1513</v>
      </c>
      <c r="B1514">
        <v>1513</v>
      </c>
      <c r="C1514" t="s">
        <v>3674</v>
      </c>
    </row>
    <row r="1515" spans="1:3" x14ac:dyDescent="0.25">
      <c r="A1515">
        <v>1514</v>
      </c>
      <c r="B1515">
        <v>1514</v>
      </c>
      <c r="C1515" t="s">
        <v>3675</v>
      </c>
    </row>
    <row r="1516" spans="1:3" x14ac:dyDescent="0.25">
      <c r="A1516">
        <v>1515</v>
      </c>
      <c r="B1516">
        <v>1515</v>
      </c>
      <c r="C1516" t="s">
        <v>3676</v>
      </c>
    </row>
    <row r="1517" spans="1:3" x14ac:dyDescent="0.25">
      <c r="A1517">
        <v>1516</v>
      </c>
      <c r="B1517">
        <v>1516</v>
      </c>
      <c r="C1517" t="s">
        <v>3677</v>
      </c>
    </row>
    <row r="1518" spans="1:3" x14ac:dyDescent="0.25">
      <c r="A1518">
        <v>1517</v>
      </c>
      <c r="B1518">
        <v>1517</v>
      </c>
      <c r="C1518" t="s">
        <v>3678</v>
      </c>
    </row>
    <row r="1519" spans="1:3" x14ac:dyDescent="0.25">
      <c r="A1519">
        <v>1518</v>
      </c>
      <c r="B1519">
        <v>1518</v>
      </c>
      <c r="C1519" t="s">
        <v>3679</v>
      </c>
    </row>
    <row r="1520" spans="1:3" x14ac:dyDescent="0.25">
      <c r="A1520">
        <v>1519</v>
      </c>
      <c r="B1520">
        <v>1519</v>
      </c>
      <c r="C1520" t="s">
        <v>3680</v>
      </c>
    </row>
    <row r="1521" spans="1:3" x14ac:dyDescent="0.25">
      <c r="A1521">
        <v>1520</v>
      </c>
      <c r="B1521">
        <v>1520</v>
      </c>
      <c r="C1521" t="s">
        <v>3681</v>
      </c>
    </row>
    <row r="1522" spans="1:3" x14ac:dyDescent="0.25">
      <c r="A1522">
        <v>1521</v>
      </c>
      <c r="B1522">
        <v>1521</v>
      </c>
      <c r="C1522" t="s">
        <v>3682</v>
      </c>
    </row>
    <row r="1523" spans="1:3" x14ac:dyDescent="0.25">
      <c r="A1523">
        <v>1522</v>
      </c>
      <c r="B1523">
        <v>1522</v>
      </c>
      <c r="C1523" t="s">
        <v>3683</v>
      </c>
    </row>
    <row r="1524" spans="1:3" x14ac:dyDescent="0.25">
      <c r="A1524">
        <v>1523</v>
      </c>
      <c r="B1524">
        <v>1523</v>
      </c>
      <c r="C1524" t="s">
        <v>3684</v>
      </c>
    </row>
    <row r="1525" spans="1:3" x14ac:dyDescent="0.25">
      <c r="A1525">
        <v>1524</v>
      </c>
      <c r="B1525">
        <v>1524</v>
      </c>
      <c r="C1525" t="s">
        <v>3685</v>
      </c>
    </row>
    <row r="1526" spans="1:3" x14ac:dyDescent="0.25">
      <c r="A1526">
        <v>1525</v>
      </c>
      <c r="B1526">
        <v>1525</v>
      </c>
      <c r="C1526" t="s">
        <v>3686</v>
      </c>
    </row>
    <row r="1527" spans="1:3" x14ac:dyDescent="0.25">
      <c r="A1527">
        <v>1526</v>
      </c>
      <c r="B1527">
        <v>1526</v>
      </c>
      <c r="C1527" t="s">
        <v>3687</v>
      </c>
    </row>
    <row r="1528" spans="1:3" x14ac:dyDescent="0.25">
      <c r="A1528">
        <v>1527</v>
      </c>
      <c r="B1528">
        <v>1527</v>
      </c>
      <c r="C1528" t="s">
        <v>2167</v>
      </c>
    </row>
    <row r="1529" spans="1:3" x14ac:dyDescent="0.25">
      <c r="A1529">
        <v>1528</v>
      </c>
      <c r="B1529">
        <v>1528</v>
      </c>
    </row>
    <row r="1530" spans="1:3" x14ac:dyDescent="0.25">
      <c r="A1530">
        <v>1529</v>
      </c>
      <c r="B1530">
        <v>1529</v>
      </c>
      <c r="C1530" t="s">
        <v>3716</v>
      </c>
    </row>
    <row r="1531" spans="1:3" x14ac:dyDescent="0.25">
      <c r="A1531">
        <v>1530</v>
      </c>
      <c r="B1531">
        <v>1530</v>
      </c>
    </row>
    <row r="1532" spans="1:3" x14ac:dyDescent="0.25">
      <c r="A1532">
        <v>1531</v>
      </c>
      <c r="B1532">
        <v>1531</v>
      </c>
      <c r="C1532" t="s">
        <v>3620</v>
      </c>
    </row>
    <row r="1533" spans="1:3" x14ac:dyDescent="0.25">
      <c r="A1533">
        <v>1532</v>
      </c>
      <c r="B1533">
        <v>1532</v>
      </c>
      <c r="C1533" t="s">
        <v>3621</v>
      </c>
    </row>
    <row r="1534" spans="1:3" x14ac:dyDescent="0.25">
      <c r="A1534">
        <v>1533</v>
      </c>
      <c r="B1534">
        <v>1533</v>
      </c>
      <c r="C1534" t="s">
        <v>494</v>
      </c>
    </row>
    <row r="1535" spans="1:3" x14ac:dyDescent="0.25">
      <c r="A1535">
        <v>1534</v>
      </c>
      <c r="B1535">
        <v>1534</v>
      </c>
      <c r="C1535" t="s">
        <v>3622</v>
      </c>
    </row>
    <row r="1536" spans="1:3" x14ac:dyDescent="0.25">
      <c r="A1536">
        <v>1535</v>
      </c>
      <c r="B1536">
        <v>1535</v>
      </c>
      <c r="C1536" s="1" t="s">
        <v>3623</v>
      </c>
    </row>
    <row r="1537" spans="1:4" x14ac:dyDescent="0.25">
      <c r="A1537">
        <v>1536</v>
      </c>
      <c r="B1537">
        <v>1536</v>
      </c>
      <c r="C1537" t="s">
        <v>3624</v>
      </c>
    </row>
    <row r="1538" spans="1:4" x14ac:dyDescent="0.25">
      <c r="A1538">
        <v>1537</v>
      </c>
      <c r="B1538">
        <v>1537</v>
      </c>
      <c r="C1538" s="1" t="s">
        <v>3625</v>
      </c>
    </row>
    <row r="1539" spans="1:4" x14ac:dyDescent="0.25">
      <c r="A1539">
        <v>1538</v>
      </c>
      <c r="B1539">
        <v>1538</v>
      </c>
      <c r="C1539" t="s">
        <v>3626</v>
      </c>
    </row>
    <row r="1540" spans="1:4" x14ac:dyDescent="0.25">
      <c r="A1540">
        <v>1539</v>
      </c>
      <c r="B1540">
        <v>1539</v>
      </c>
      <c r="C1540" t="s">
        <v>3343</v>
      </c>
      <c r="D1540" t="s">
        <v>3344</v>
      </c>
    </row>
    <row r="1541" spans="1:4" x14ac:dyDescent="0.25">
      <c r="A1541">
        <v>1540</v>
      </c>
      <c r="B1541">
        <v>1540</v>
      </c>
      <c r="C1541" t="s">
        <v>3627</v>
      </c>
    </row>
    <row r="1542" spans="1:4" x14ac:dyDescent="0.25">
      <c r="A1542">
        <v>1541</v>
      </c>
      <c r="B1542">
        <v>1541</v>
      </c>
      <c r="C1542" s="1" t="s">
        <v>3628</v>
      </c>
    </row>
    <row r="1543" spans="1:4" x14ac:dyDescent="0.25">
      <c r="A1543">
        <v>1542</v>
      </c>
      <c r="B1543">
        <v>1542</v>
      </c>
      <c r="C1543" t="s">
        <v>3629</v>
      </c>
      <c r="D1543" t="s">
        <v>3630</v>
      </c>
    </row>
    <row r="1544" spans="1:4" x14ac:dyDescent="0.25">
      <c r="A1544">
        <v>1543</v>
      </c>
      <c r="B1544">
        <v>1543</v>
      </c>
      <c r="C1544" t="s">
        <v>3631</v>
      </c>
    </row>
    <row r="1545" spans="1:4" x14ac:dyDescent="0.25">
      <c r="A1545">
        <v>1544</v>
      </c>
      <c r="B1545">
        <v>1544</v>
      </c>
      <c r="C1545" t="s">
        <v>3632</v>
      </c>
    </row>
    <row r="1546" spans="1:4" x14ac:dyDescent="0.25">
      <c r="A1546">
        <v>1545</v>
      </c>
      <c r="B1546">
        <v>1545</v>
      </c>
      <c r="C1546" t="s">
        <v>3633</v>
      </c>
    </row>
    <row r="1547" spans="1:4" x14ac:dyDescent="0.25">
      <c r="A1547">
        <v>1546</v>
      </c>
      <c r="B1547">
        <v>1546</v>
      </c>
      <c r="C1547" t="s">
        <v>3634</v>
      </c>
    </row>
    <row r="1548" spans="1:4" x14ac:dyDescent="0.25">
      <c r="A1548">
        <v>1547</v>
      </c>
      <c r="B1548">
        <v>1547</v>
      </c>
      <c r="C1548" t="s">
        <v>3635</v>
      </c>
    </row>
    <row r="1549" spans="1:4" x14ac:dyDescent="0.25">
      <c r="A1549">
        <v>1548</v>
      </c>
      <c r="B1549">
        <v>1548</v>
      </c>
      <c r="C1549" t="s">
        <v>3636</v>
      </c>
    </row>
    <row r="1550" spans="1:4" x14ac:dyDescent="0.25">
      <c r="A1550">
        <v>1549</v>
      </c>
      <c r="B1550">
        <v>1549</v>
      </c>
      <c r="C1550" t="s">
        <v>3637</v>
      </c>
    </row>
    <row r="1551" spans="1:4" x14ac:dyDescent="0.25">
      <c r="A1551">
        <v>1550</v>
      </c>
      <c r="B1551">
        <v>1550</v>
      </c>
      <c r="C1551" t="s">
        <v>3636</v>
      </c>
    </row>
    <row r="1552" spans="1:4" x14ac:dyDescent="0.25">
      <c r="A1552">
        <v>1551</v>
      </c>
      <c r="B1552">
        <v>1551</v>
      </c>
      <c r="C1552" t="s">
        <v>3638</v>
      </c>
    </row>
    <row r="1553" spans="1:3" x14ac:dyDescent="0.25">
      <c r="A1553">
        <v>1552</v>
      </c>
      <c r="B1553">
        <v>1552</v>
      </c>
      <c r="C1553" t="s">
        <v>3639</v>
      </c>
    </row>
    <row r="1554" spans="1:3" x14ac:dyDescent="0.25">
      <c r="A1554">
        <v>1553</v>
      </c>
      <c r="B1554">
        <v>1553</v>
      </c>
      <c r="C1554" t="s">
        <v>3640</v>
      </c>
    </row>
    <row r="1555" spans="1:3" x14ac:dyDescent="0.25">
      <c r="A1555">
        <v>1554</v>
      </c>
      <c r="B1555">
        <v>1554</v>
      </c>
      <c r="C1555" t="s">
        <v>3641</v>
      </c>
    </row>
    <row r="1556" spans="1:3" x14ac:dyDescent="0.25">
      <c r="A1556">
        <v>1555</v>
      </c>
      <c r="B1556">
        <v>1555</v>
      </c>
      <c r="C1556" t="s">
        <v>3642</v>
      </c>
    </row>
    <row r="1557" spans="1:3" x14ac:dyDescent="0.25">
      <c r="A1557">
        <v>1556</v>
      </c>
      <c r="B1557">
        <v>1556</v>
      </c>
      <c r="C1557" t="s">
        <v>3643</v>
      </c>
    </row>
    <row r="1558" spans="1:3" x14ac:dyDescent="0.25">
      <c r="A1558">
        <v>1557</v>
      </c>
      <c r="B1558">
        <v>1557</v>
      </c>
      <c r="C1558" t="s">
        <v>3644</v>
      </c>
    </row>
    <row r="1559" spans="1:3" x14ac:dyDescent="0.25">
      <c r="A1559">
        <v>1558</v>
      </c>
      <c r="B1559">
        <v>1558</v>
      </c>
      <c r="C1559" t="s">
        <v>3645</v>
      </c>
    </row>
    <row r="1560" spans="1:3" x14ac:dyDescent="0.25">
      <c r="A1560">
        <v>1559</v>
      </c>
      <c r="B1560">
        <v>1559</v>
      </c>
      <c r="C1560" t="s">
        <v>1214</v>
      </c>
    </row>
    <row r="1561" spans="1:3" x14ac:dyDescent="0.25">
      <c r="A1561">
        <v>1560</v>
      </c>
      <c r="B1561">
        <v>1560</v>
      </c>
      <c r="C1561" t="s">
        <v>3646</v>
      </c>
    </row>
    <row r="1562" spans="1:3" x14ac:dyDescent="0.25">
      <c r="A1562">
        <v>1561</v>
      </c>
      <c r="B1562">
        <v>1561</v>
      </c>
      <c r="C1562" t="s">
        <v>21</v>
      </c>
    </row>
    <row r="1563" spans="1:3" x14ac:dyDescent="0.25">
      <c r="A1563">
        <v>1562</v>
      </c>
      <c r="B1563">
        <v>1562</v>
      </c>
    </row>
    <row r="1564" spans="1:3" x14ac:dyDescent="0.25">
      <c r="A1564">
        <v>1563</v>
      </c>
      <c r="B1564">
        <v>1563</v>
      </c>
    </row>
    <row r="1565" spans="1:3" x14ac:dyDescent="0.25">
      <c r="A1565">
        <v>1564</v>
      </c>
      <c r="B1565">
        <v>1564</v>
      </c>
      <c r="C1565" t="s">
        <v>3717</v>
      </c>
    </row>
    <row r="1566" spans="1:3" x14ac:dyDescent="0.25">
      <c r="A1566">
        <v>1565</v>
      </c>
      <c r="B1566">
        <v>1565</v>
      </c>
      <c r="C1566" t="s">
        <v>3718</v>
      </c>
    </row>
    <row r="1567" spans="1:3" x14ac:dyDescent="0.25">
      <c r="A1567">
        <v>1566</v>
      </c>
      <c r="B1567">
        <v>1566</v>
      </c>
      <c r="C1567" t="s">
        <v>3719</v>
      </c>
    </row>
    <row r="1568" spans="1:3" x14ac:dyDescent="0.25">
      <c r="A1568">
        <v>1567</v>
      </c>
      <c r="B1568">
        <v>1567</v>
      </c>
      <c r="C1568" t="s">
        <v>3720</v>
      </c>
    </row>
    <row r="1569" spans="1:3" x14ac:dyDescent="0.25">
      <c r="A1569">
        <v>1568</v>
      </c>
      <c r="B1569">
        <v>1568</v>
      </c>
      <c r="C1569" t="s">
        <v>3721</v>
      </c>
    </row>
    <row r="1570" spans="1:3" x14ac:dyDescent="0.25">
      <c r="A1570">
        <v>1569</v>
      </c>
      <c r="B1570">
        <v>1569</v>
      </c>
      <c r="C1570" t="s">
        <v>3722</v>
      </c>
    </row>
    <row r="1571" spans="1:3" x14ac:dyDescent="0.25">
      <c r="A1571">
        <v>1570</v>
      </c>
      <c r="B1571">
        <v>1570</v>
      </c>
      <c r="C1571" t="s">
        <v>3723</v>
      </c>
    </row>
    <row r="1572" spans="1:3" x14ac:dyDescent="0.25">
      <c r="A1572">
        <v>1571</v>
      </c>
      <c r="B1572">
        <v>1571</v>
      </c>
      <c r="C1572" t="s">
        <v>3724</v>
      </c>
    </row>
    <row r="1573" spans="1:3" x14ac:dyDescent="0.25">
      <c r="A1573">
        <v>1572</v>
      </c>
      <c r="B1573">
        <v>1572</v>
      </c>
      <c r="C1573" t="s">
        <v>3725</v>
      </c>
    </row>
    <row r="1574" spans="1:3" x14ac:dyDescent="0.25">
      <c r="A1574">
        <v>1573</v>
      </c>
      <c r="B1574">
        <v>1573</v>
      </c>
      <c r="C1574" t="s">
        <v>3726</v>
      </c>
    </row>
    <row r="1575" spans="1:3" x14ac:dyDescent="0.25">
      <c r="A1575">
        <v>1574</v>
      </c>
      <c r="B1575">
        <v>1574</v>
      </c>
      <c r="C1575" t="s">
        <v>3727</v>
      </c>
    </row>
    <row r="1576" spans="1:3" x14ac:dyDescent="0.25">
      <c r="A1576">
        <v>1575</v>
      </c>
      <c r="B1576">
        <v>1575</v>
      </c>
      <c r="C1576" t="s">
        <v>3728</v>
      </c>
    </row>
    <row r="1577" spans="1:3" x14ac:dyDescent="0.25">
      <c r="A1577">
        <v>1576</v>
      </c>
      <c r="B1577">
        <v>1576</v>
      </c>
      <c r="C1577" t="s">
        <v>3729</v>
      </c>
    </row>
    <row r="1578" spans="1:3" x14ac:dyDescent="0.25">
      <c r="A1578">
        <v>1577</v>
      </c>
      <c r="B1578">
        <v>1577</v>
      </c>
      <c r="C1578" t="s">
        <v>3730</v>
      </c>
    </row>
    <row r="1579" spans="1:3" x14ac:dyDescent="0.25">
      <c r="A1579">
        <v>1578</v>
      </c>
      <c r="B1579">
        <v>1578</v>
      </c>
      <c r="C1579" t="s">
        <v>3731</v>
      </c>
    </row>
    <row r="1580" spans="1:3" x14ac:dyDescent="0.25">
      <c r="A1580">
        <v>1579</v>
      </c>
      <c r="B1580">
        <v>1579</v>
      </c>
      <c r="C1580" t="s">
        <v>3732</v>
      </c>
    </row>
    <row r="1581" spans="1:3" x14ac:dyDescent="0.25">
      <c r="A1581">
        <v>1580</v>
      </c>
      <c r="B1581">
        <v>1580</v>
      </c>
      <c r="C1581" t="s">
        <v>3733</v>
      </c>
    </row>
    <row r="1582" spans="1:3" x14ac:dyDescent="0.25">
      <c r="A1582">
        <v>1581</v>
      </c>
      <c r="B1582">
        <v>1581</v>
      </c>
      <c r="C1582" t="s">
        <v>3734</v>
      </c>
    </row>
    <row r="1583" spans="1:3" x14ac:dyDescent="0.25">
      <c r="A1583">
        <v>1582</v>
      </c>
      <c r="B1583">
        <v>1582</v>
      </c>
      <c r="C1583" t="s">
        <v>3735</v>
      </c>
    </row>
    <row r="1584" spans="1:3" x14ac:dyDescent="0.25">
      <c r="A1584">
        <v>1583</v>
      </c>
      <c r="B1584">
        <v>1583</v>
      </c>
      <c r="C1584" t="s">
        <v>3736</v>
      </c>
    </row>
    <row r="1585" spans="1:3" x14ac:dyDescent="0.25">
      <c r="A1585">
        <v>1584</v>
      </c>
      <c r="B1585">
        <v>1584</v>
      </c>
      <c r="C1585" t="s">
        <v>3737</v>
      </c>
    </row>
    <row r="1586" spans="1:3" x14ac:dyDescent="0.25">
      <c r="A1586">
        <v>1585</v>
      </c>
      <c r="B1586">
        <v>1585</v>
      </c>
      <c r="C1586" t="s">
        <v>3738</v>
      </c>
    </row>
    <row r="1587" spans="1:3" x14ac:dyDescent="0.25">
      <c r="A1587">
        <v>1586</v>
      </c>
      <c r="B1587">
        <v>1586</v>
      </c>
      <c r="C1587" t="s">
        <v>3739</v>
      </c>
    </row>
    <row r="1588" spans="1:3" x14ac:dyDescent="0.25">
      <c r="A1588">
        <v>1587</v>
      </c>
      <c r="B1588">
        <v>1587</v>
      </c>
      <c r="C1588" t="s">
        <v>3740</v>
      </c>
    </row>
    <row r="1589" spans="1:3" x14ac:dyDescent="0.25">
      <c r="A1589">
        <v>1588</v>
      </c>
      <c r="B1589">
        <v>1588</v>
      </c>
      <c r="C1589" t="s">
        <v>3741</v>
      </c>
    </row>
    <row r="1590" spans="1:3" x14ac:dyDescent="0.25">
      <c r="A1590">
        <v>1589</v>
      </c>
      <c r="B1590">
        <v>1589</v>
      </c>
      <c r="C1590" t="s">
        <v>3742</v>
      </c>
    </row>
    <row r="1591" spans="1:3" x14ac:dyDescent="0.25">
      <c r="A1591">
        <v>1590</v>
      </c>
      <c r="B1591">
        <v>1590</v>
      </c>
      <c r="C1591" t="s">
        <v>3743</v>
      </c>
    </row>
    <row r="1592" spans="1:3" x14ac:dyDescent="0.25">
      <c r="A1592">
        <v>1591</v>
      </c>
      <c r="B1592">
        <v>1591</v>
      </c>
      <c r="C1592" t="s">
        <v>3744</v>
      </c>
    </row>
    <row r="1593" spans="1:3" x14ac:dyDescent="0.25">
      <c r="A1593">
        <v>1592</v>
      </c>
      <c r="B1593">
        <v>1592</v>
      </c>
      <c r="C1593" t="s">
        <v>3742</v>
      </c>
    </row>
    <row r="1594" spans="1:3" x14ac:dyDescent="0.25">
      <c r="A1594">
        <v>1593</v>
      </c>
      <c r="B1594">
        <v>1593</v>
      </c>
      <c r="C1594" s="1" t="s">
        <v>3745</v>
      </c>
    </row>
    <row r="1595" spans="1:3" x14ac:dyDescent="0.25">
      <c r="A1595">
        <v>1594</v>
      </c>
      <c r="B1595">
        <v>1594</v>
      </c>
      <c r="C1595" t="s">
        <v>3746</v>
      </c>
    </row>
    <row r="1596" spans="1:3" x14ac:dyDescent="0.25">
      <c r="A1596">
        <v>1595</v>
      </c>
      <c r="B1596">
        <v>1595</v>
      </c>
      <c r="C1596" t="s">
        <v>3747</v>
      </c>
    </row>
    <row r="1597" spans="1:3" x14ac:dyDescent="0.25">
      <c r="A1597">
        <v>1596</v>
      </c>
      <c r="B1597">
        <v>1596</v>
      </c>
      <c r="C1597" t="s">
        <v>3748</v>
      </c>
    </row>
    <row r="1598" spans="1:3" x14ac:dyDescent="0.25">
      <c r="A1598">
        <v>1597</v>
      </c>
      <c r="B1598">
        <v>1597</v>
      </c>
      <c r="C1598" t="s">
        <v>3749</v>
      </c>
    </row>
    <row r="1599" spans="1:3" x14ac:dyDescent="0.25">
      <c r="A1599">
        <v>1598</v>
      </c>
      <c r="B1599">
        <v>1598</v>
      </c>
      <c r="C1599" t="s">
        <v>788</v>
      </c>
    </row>
    <row r="1600" spans="1:3" x14ac:dyDescent="0.25">
      <c r="A1600">
        <v>1599</v>
      </c>
      <c r="B1600">
        <v>1599</v>
      </c>
      <c r="C1600" t="s">
        <v>3750</v>
      </c>
    </row>
    <row r="1601" spans="1:4" x14ac:dyDescent="0.25">
      <c r="A1601">
        <v>1600</v>
      </c>
      <c r="B1601">
        <v>1600</v>
      </c>
      <c r="C1601" t="s">
        <v>3749</v>
      </c>
    </row>
    <row r="1602" spans="1:4" x14ac:dyDescent="0.25">
      <c r="A1602">
        <v>1601</v>
      </c>
      <c r="B1602">
        <v>1601</v>
      </c>
      <c r="C1602" t="s">
        <v>268</v>
      </c>
    </row>
    <row r="1603" spans="1:4" x14ac:dyDescent="0.25">
      <c r="A1603">
        <v>1602</v>
      </c>
      <c r="B1603">
        <v>1602</v>
      </c>
      <c r="C1603" t="s">
        <v>3751</v>
      </c>
    </row>
    <row r="1604" spans="1:4" x14ac:dyDescent="0.25">
      <c r="A1604">
        <v>1603</v>
      </c>
      <c r="B1604">
        <v>1603</v>
      </c>
      <c r="C1604" t="s">
        <v>21</v>
      </c>
    </row>
    <row r="1605" spans="1:4" x14ac:dyDescent="0.25">
      <c r="A1605">
        <v>1604</v>
      </c>
      <c r="B1605">
        <v>1604</v>
      </c>
    </row>
    <row r="1606" spans="1:4" x14ac:dyDescent="0.25">
      <c r="A1606">
        <v>1605</v>
      </c>
      <c r="B1606">
        <v>1605</v>
      </c>
    </row>
    <row r="1607" spans="1:4" x14ac:dyDescent="0.25">
      <c r="A1607">
        <v>1606</v>
      </c>
      <c r="B1607">
        <v>1606</v>
      </c>
    </row>
    <row r="1608" spans="1:4" x14ac:dyDescent="0.25">
      <c r="A1608">
        <v>1607</v>
      </c>
      <c r="B1608">
        <v>1607</v>
      </c>
      <c r="C1608" t="s">
        <v>3752</v>
      </c>
    </row>
    <row r="1609" spans="1:4" x14ac:dyDescent="0.25">
      <c r="A1609">
        <v>1608</v>
      </c>
      <c r="B1609">
        <v>1608</v>
      </c>
    </row>
    <row r="1610" spans="1:4" x14ac:dyDescent="0.25">
      <c r="A1610">
        <v>1609</v>
      </c>
      <c r="B1610">
        <v>1609</v>
      </c>
      <c r="C1610" t="s">
        <v>700</v>
      </c>
    </row>
    <row r="1611" spans="1:4" x14ac:dyDescent="0.25">
      <c r="A1611">
        <v>1610</v>
      </c>
      <c r="B1611">
        <v>1610</v>
      </c>
      <c r="C1611" t="s">
        <v>3753</v>
      </c>
      <c r="D1611" t="s">
        <v>3754</v>
      </c>
    </row>
    <row r="1612" spans="1:4" x14ac:dyDescent="0.25">
      <c r="A1612">
        <v>1611</v>
      </c>
      <c r="B1612">
        <v>1611</v>
      </c>
      <c r="C1612" t="s">
        <v>702</v>
      </c>
    </row>
    <row r="1613" spans="1:4" x14ac:dyDescent="0.25">
      <c r="A1613">
        <v>1612</v>
      </c>
      <c r="B1613">
        <v>1612</v>
      </c>
      <c r="C1613" t="s">
        <v>3755</v>
      </c>
      <c r="D1613" t="s">
        <v>3756</v>
      </c>
    </row>
    <row r="1614" spans="1:4" x14ac:dyDescent="0.25">
      <c r="A1614">
        <v>1613</v>
      </c>
      <c r="B1614">
        <v>1613</v>
      </c>
      <c r="C1614" t="s">
        <v>704</v>
      </c>
    </row>
    <row r="1615" spans="1:4" x14ac:dyDescent="0.25">
      <c r="A1615">
        <v>1614</v>
      </c>
      <c r="B1615">
        <v>1614</v>
      </c>
      <c r="C1615" t="s">
        <v>3757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0"/>
  <sheetViews>
    <sheetView workbookViewId="0"/>
  </sheetViews>
  <sheetFormatPr defaultRowHeight="15" x14ac:dyDescent="0.25"/>
  <cols>
    <col min="7" max="7" width="23" bestFit="1" customWidth="1"/>
    <col min="8" max="8" width="21.5703125" bestFit="1" customWidth="1"/>
  </cols>
  <sheetData>
    <row r="1" spans="1:11" x14ac:dyDescent="0.25">
      <c r="A1" t="s">
        <v>3758</v>
      </c>
      <c r="B1" t="s">
        <v>3759</v>
      </c>
      <c r="C1" t="s">
        <v>3760</v>
      </c>
      <c r="G1" t="s">
        <v>3807</v>
      </c>
      <c r="H1" t="str">
        <f>LEFT(G1,SEARCH("is",G1,1)-1)</f>
        <v xml:space="preserve">Suri </v>
      </c>
      <c r="I1" t="s">
        <v>3811</v>
      </c>
    </row>
    <row r="2" spans="1:11" x14ac:dyDescent="0.25">
      <c r="A2" t="s">
        <v>3761</v>
      </c>
      <c r="B2" t="s">
        <v>3778</v>
      </c>
      <c r="C2" t="s">
        <v>3784</v>
      </c>
      <c r="G2" t="s">
        <v>3808</v>
      </c>
      <c r="H2" t="str">
        <f>LEFT(G2,SEARCH("is",G2,1)-1)</f>
        <v xml:space="preserve">Surendra </v>
      </c>
      <c r="I2" t="s">
        <v>3812</v>
      </c>
      <c r="K2" t="str">
        <f>LEFT(G2,SEARCH("is",G2,1)-1)</f>
        <v xml:space="preserve">Surendra </v>
      </c>
    </row>
    <row r="3" spans="1:11" x14ac:dyDescent="0.25">
      <c r="A3" t="s">
        <v>3765</v>
      </c>
      <c r="B3" t="s">
        <v>3771</v>
      </c>
      <c r="C3" t="s">
        <v>3785</v>
      </c>
      <c r="G3" t="s">
        <v>3809</v>
      </c>
      <c r="H3" t="str">
        <f>LEFT(G3,SEARCH("is",G3,1)-1)</f>
        <v xml:space="preserve">Surendra Kumar </v>
      </c>
      <c r="I3" t="s">
        <v>3813</v>
      </c>
      <c r="K3" t="str">
        <f t="shared" ref="K3:K4" si="0">LEFT(G3,SEARCH("is",G3,1)-1)</f>
        <v xml:space="preserve">Surendra Kumar </v>
      </c>
    </row>
    <row r="4" spans="1:11" x14ac:dyDescent="0.25">
      <c r="A4" t="s">
        <v>3762</v>
      </c>
      <c r="B4" t="s">
        <v>3779</v>
      </c>
      <c r="C4" t="s">
        <v>3786</v>
      </c>
      <c r="G4" t="s">
        <v>3810</v>
      </c>
      <c r="H4" t="str">
        <f>LEFT(G4,SEARCH("is",G4,1)-1)</f>
        <v xml:space="preserve">Surendra Kumar Yadav </v>
      </c>
      <c r="I4" t="s">
        <v>3814</v>
      </c>
      <c r="K4" t="str">
        <f t="shared" si="0"/>
        <v xml:space="preserve">Surendra Kumar Yadav </v>
      </c>
    </row>
    <row r="5" spans="1:11" x14ac:dyDescent="0.25">
      <c r="A5" t="s">
        <v>3763</v>
      </c>
      <c r="B5" t="s">
        <v>3780</v>
      </c>
      <c r="C5" t="s">
        <v>3787</v>
      </c>
    </row>
    <row r="6" spans="1:11" x14ac:dyDescent="0.25">
      <c r="A6" t="s">
        <v>3764</v>
      </c>
      <c r="B6" t="s">
        <v>3779</v>
      </c>
      <c r="C6" t="s">
        <v>3785</v>
      </c>
    </row>
    <row r="7" spans="1:11" x14ac:dyDescent="0.25">
      <c r="A7" t="s">
        <v>3764</v>
      </c>
      <c r="B7" t="s">
        <v>3779</v>
      </c>
      <c r="C7" t="s">
        <v>3785</v>
      </c>
    </row>
    <row r="8" spans="1:11" x14ac:dyDescent="0.25">
      <c r="A8" t="s">
        <v>3777</v>
      </c>
      <c r="B8" t="s">
        <v>3781</v>
      </c>
      <c r="C8" t="s">
        <v>3788</v>
      </c>
    </row>
    <row r="9" spans="1:11" x14ac:dyDescent="0.25">
      <c r="A9" t="s">
        <v>3761</v>
      </c>
      <c r="B9" t="s">
        <v>3782</v>
      </c>
      <c r="C9" t="s">
        <v>3785</v>
      </c>
    </row>
    <row r="10" spans="1:11" x14ac:dyDescent="0.25">
      <c r="A10" t="s">
        <v>3766</v>
      </c>
      <c r="B10" t="s">
        <v>3783</v>
      </c>
      <c r="C10" t="s">
        <v>3786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5"/>
  <sheetViews>
    <sheetView workbookViewId="0">
      <selection activeCell="F1" sqref="F1"/>
    </sheetView>
  </sheetViews>
  <sheetFormatPr defaultRowHeight="15" x14ac:dyDescent="0.25"/>
  <cols>
    <col min="1" max="1" width="6.28515625" bestFit="1" customWidth="1"/>
    <col min="2" max="2" width="5.28515625" bestFit="1" customWidth="1"/>
    <col min="3" max="3" width="12.5703125" bestFit="1" customWidth="1"/>
    <col min="4" max="4" width="17.42578125" bestFit="1" customWidth="1"/>
    <col min="5" max="5" width="9.7109375" style="11" bestFit="1" customWidth="1"/>
  </cols>
  <sheetData>
    <row r="1" spans="1:9" s="2" customFormat="1" x14ac:dyDescent="0.25">
      <c r="A1" s="2" t="s">
        <v>3758</v>
      </c>
      <c r="B1" s="2" t="s">
        <v>3759</v>
      </c>
      <c r="C1" s="2" t="s">
        <v>3760</v>
      </c>
      <c r="D1" s="2" t="s">
        <v>3772</v>
      </c>
      <c r="E1" s="12" t="s">
        <v>3828</v>
      </c>
      <c r="F1" s="2" t="s">
        <v>3829</v>
      </c>
      <c r="H1" s="11"/>
      <c r="I1" s="11"/>
    </row>
    <row r="2" spans="1:9" x14ac:dyDescent="0.25">
      <c r="A2" t="s">
        <v>3761</v>
      </c>
      <c r="B2" t="s">
        <v>3767</v>
      </c>
      <c r="C2" t="s">
        <v>3773</v>
      </c>
      <c r="D2" t="s">
        <v>3773</v>
      </c>
      <c r="E2" s="11">
        <v>43295</v>
      </c>
      <c r="F2" t="s">
        <v>3830</v>
      </c>
    </row>
    <row r="3" spans="1:9" x14ac:dyDescent="0.25">
      <c r="A3" t="s">
        <v>3761</v>
      </c>
      <c r="B3" t="s">
        <v>3768</v>
      </c>
      <c r="C3" t="s">
        <v>3774</v>
      </c>
      <c r="D3" t="s">
        <v>3774</v>
      </c>
      <c r="E3" s="11">
        <v>43296</v>
      </c>
      <c r="F3" t="s">
        <v>3830</v>
      </c>
    </row>
    <row r="4" spans="1:9" x14ac:dyDescent="0.25">
      <c r="A4" t="s">
        <v>3762</v>
      </c>
      <c r="B4" t="s">
        <v>3769</v>
      </c>
      <c r="C4" t="s">
        <v>3775</v>
      </c>
      <c r="D4" t="s">
        <v>3774</v>
      </c>
      <c r="E4" s="11">
        <v>43295</v>
      </c>
      <c r="F4" t="s">
        <v>3830</v>
      </c>
    </row>
    <row r="5" spans="1:9" x14ac:dyDescent="0.25">
      <c r="A5" t="s">
        <v>3763</v>
      </c>
      <c r="B5" t="s">
        <v>3770</v>
      </c>
      <c r="C5" t="s">
        <v>3776</v>
      </c>
      <c r="D5" t="s">
        <v>3773</v>
      </c>
      <c r="E5" s="11">
        <v>43298</v>
      </c>
      <c r="F5" t="s">
        <v>3830</v>
      </c>
    </row>
    <row r="6" spans="1:9" x14ac:dyDescent="0.25">
      <c r="A6" t="s">
        <v>3762</v>
      </c>
      <c r="B6" t="s">
        <v>3771</v>
      </c>
      <c r="C6" t="s">
        <v>3775</v>
      </c>
      <c r="D6" t="s">
        <v>3774</v>
      </c>
      <c r="E6" s="11">
        <v>43299</v>
      </c>
      <c r="F6" t="s">
        <v>3830</v>
      </c>
    </row>
    <row r="7" spans="1:9" x14ac:dyDescent="0.25">
      <c r="A7" t="s">
        <v>3762</v>
      </c>
      <c r="B7" t="s">
        <v>3771</v>
      </c>
      <c r="C7" t="s">
        <v>3775</v>
      </c>
      <c r="D7" t="s">
        <v>3774</v>
      </c>
      <c r="E7" s="11">
        <v>43295</v>
      </c>
      <c r="F7" t="s">
        <v>3830</v>
      </c>
    </row>
    <row r="8" spans="1:9" x14ac:dyDescent="0.25">
      <c r="A8" t="s">
        <v>3761</v>
      </c>
      <c r="B8" t="s">
        <v>3767</v>
      </c>
      <c r="C8" t="s">
        <v>3773</v>
      </c>
      <c r="D8" t="s">
        <v>3773</v>
      </c>
      <c r="E8" s="11">
        <v>43301</v>
      </c>
      <c r="F8" t="s">
        <v>3830</v>
      </c>
    </row>
    <row r="9" spans="1:9" x14ac:dyDescent="0.25">
      <c r="A9" t="s">
        <v>3761</v>
      </c>
      <c r="B9" t="s">
        <v>3768</v>
      </c>
      <c r="C9" t="s">
        <v>3774</v>
      </c>
      <c r="D9" t="s">
        <v>3774</v>
      </c>
      <c r="E9" s="11">
        <v>43302</v>
      </c>
      <c r="F9" t="s">
        <v>3830</v>
      </c>
    </row>
    <row r="10" spans="1:9" x14ac:dyDescent="0.25">
      <c r="A10" t="s">
        <v>3762</v>
      </c>
      <c r="B10" t="s">
        <v>3769</v>
      </c>
      <c r="C10" t="s">
        <v>3775</v>
      </c>
      <c r="D10" t="s">
        <v>3774</v>
      </c>
      <c r="E10" s="11">
        <v>43303</v>
      </c>
      <c r="F10" t="s">
        <v>3830</v>
      </c>
    </row>
    <row r="11" spans="1:9" x14ac:dyDescent="0.25">
      <c r="A11" t="s">
        <v>3763</v>
      </c>
      <c r="B11" t="s">
        <v>3770</v>
      </c>
      <c r="C11" t="s">
        <v>3776</v>
      </c>
      <c r="D11" t="s">
        <v>3773</v>
      </c>
      <c r="E11" s="11">
        <v>43304</v>
      </c>
      <c r="F11" t="s">
        <v>3830</v>
      </c>
    </row>
    <row r="12" spans="1:9" x14ac:dyDescent="0.25">
      <c r="A12" t="s">
        <v>3762</v>
      </c>
      <c r="B12" t="s">
        <v>3771</v>
      </c>
      <c r="C12" t="s">
        <v>3775</v>
      </c>
      <c r="D12" t="s">
        <v>3774</v>
      </c>
      <c r="E12" s="11">
        <v>43305</v>
      </c>
      <c r="F12" t="s">
        <v>3830</v>
      </c>
    </row>
    <row r="13" spans="1:9" x14ac:dyDescent="0.25">
      <c r="A13" t="s">
        <v>3762</v>
      </c>
      <c r="B13" t="s">
        <v>3771</v>
      </c>
      <c r="C13" t="s">
        <v>3775</v>
      </c>
      <c r="D13" t="s">
        <v>3774</v>
      </c>
      <c r="E13" s="11">
        <v>43306</v>
      </c>
      <c r="F13" t="s">
        <v>3830</v>
      </c>
    </row>
    <row r="14" spans="1:9" x14ac:dyDescent="0.25">
      <c r="A14" t="s">
        <v>3761</v>
      </c>
      <c r="B14" t="s">
        <v>3767</v>
      </c>
      <c r="C14" t="s">
        <v>3773</v>
      </c>
      <c r="D14" t="s">
        <v>3773</v>
      </c>
      <c r="E14" s="11">
        <v>43307</v>
      </c>
      <c r="F14" t="s">
        <v>3830</v>
      </c>
    </row>
    <row r="15" spans="1:9" x14ac:dyDescent="0.25">
      <c r="A15" t="s">
        <v>3761</v>
      </c>
      <c r="B15" t="s">
        <v>3768</v>
      </c>
      <c r="C15" t="s">
        <v>3774</v>
      </c>
      <c r="D15" t="s">
        <v>3774</v>
      </c>
      <c r="E15" s="11">
        <v>43308</v>
      </c>
      <c r="F15" t="s">
        <v>3830</v>
      </c>
    </row>
    <row r="16" spans="1:9" x14ac:dyDescent="0.25">
      <c r="A16" t="s">
        <v>3762</v>
      </c>
      <c r="B16" t="s">
        <v>3769</v>
      </c>
      <c r="C16" t="s">
        <v>3775</v>
      </c>
      <c r="D16" t="s">
        <v>3774</v>
      </c>
      <c r="E16" s="11">
        <v>43309</v>
      </c>
      <c r="F16" t="s">
        <v>3830</v>
      </c>
    </row>
    <row r="17" spans="1:6" x14ac:dyDescent="0.25">
      <c r="A17" t="s">
        <v>3763</v>
      </c>
      <c r="B17" t="s">
        <v>3770</v>
      </c>
      <c r="C17" t="s">
        <v>3776</v>
      </c>
      <c r="D17" t="s">
        <v>3773</v>
      </c>
      <c r="E17" s="11">
        <v>43310</v>
      </c>
      <c r="F17" t="s">
        <v>3830</v>
      </c>
    </row>
    <row r="18" spans="1:6" x14ac:dyDescent="0.25">
      <c r="A18" t="s">
        <v>3762</v>
      </c>
      <c r="B18" t="s">
        <v>3771</v>
      </c>
      <c r="C18" t="s">
        <v>3775</v>
      </c>
      <c r="D18" t="s">
        <v>3774</v>
      </c>
      <c r="E18" s="11">
        <v>43311</v>
      </c>
      <c r="F18" t="s">
        <v>3830</v>
      </c>
    </row>
    <row r="19" spans="1:6" x14ac:dyDescent="0.25">
      <c r="A19" t="s">
        <v>3762</v>
      </c>
      <c r="B19" t="s">
        <v>3771</v>
      </c>
      <c r="C19" t="s">
        <v>3775</v>
      </c>
      <c r="D19" t="s">
        <v>3774</v>
      </c>
      <c r="E19" s="11">
        <v>43312</v>
      </c>
      <c r="F19" t="s">
        <v>3830</v>
      </c>
    </row>
    <row r="20" spans="1:6" x14ac:dyDescent="0.25">
      <c r="A20" t="s">
        <v>3761</v>
      </c>
      <c r="B20" t="s">
        <v>3767</v>
      </c>
      <c r="C20" t="s">
        <v>3773</v>
      </c>
      <c r="D20" t="s">
        <v>3773</v>
      </c>
      <c r="E20" s="11">
        <v>43313</v>
      </c>
      <c r="F20" t="s">
        <v>3831</v>
      </c>
    </row>
    <row r="21" spans="1:6" x14ac:dyDescent="0.25">
      <c r="A21" t="s">
        <v>3761</v>
      </c>
      <c r="B21" t="s">
        <v>3768</v>
      </c>
      <c r="C21" t="s">
        <v>3774</v>
      </c>
      <c r="D21" t="s">
        <v>3774</v>
      </c>
      <c r="E21" s="11">
        <v>43314</v>
      </c>
      <c r="F21" t="s">
        <v>3831</v>
      </c>
    </row>
    <row r="22" spans="1:6" x14ac:dyDescent="0.25">
      <c r="A22" t="s">
        <v>3762</v>
      </c>
      <c r="B22" t="s">
        <v>3769</v>
      </c>
      <c r="C22" t="s">
        <v>3775</v>
      </c>
      <c r="D22" t="s">
        <v>3774</v>
      </c>
      <c r="E22" s="11">
        <v>43315</v>
      </c>
      <c r="F22" t="s">
        <v>3831</v>
      </c>
    </row>
    <row r="23" spans="1:6" x14ac:dyDescent="0.25">
      <c r="A23" t="s">
        <v>3763</v>
      </c>
      <c r="B23" t="s">
        <v>3770</v>
      </c>
      <c r="C23" t="s">
        <v>3776</v>
      </c>
      <c r="D23" t="s">
        <v>3773</v>
      </c>
      <c r="E23" s="11">
        <v>43315</v>
      </c>
      <c r="F23" t="s">
        <v>3831</v>
      </c>
    </row>
    <row r="24" spans="1:6" x14ac:dyDescent="0.25">
      <c r="A24" t="s">
        <v>3762</v>
      </c>
      <c r="B24" t="s">
        <v>3771</v>
      </c>
      <c r="C24" t="s">
        <v>3775</v>
      </c>
      <c r="D24" t="s">
        <v>3774</v>
      </c>
      <c r="E24" s="11">
        <v>43317</v>
      </c>
      <c r="F24" t="s">
        <v>3831</v>
      </c>
    </row>
    <row r="25" spans="1:6" x14ac:dyDescent="0.25">
      <c r="A25" t="s">
        <v>3762</v>
      </c>
      <c r="B25" t="s">
        <v>3771</v>
      </c>
      <c r="C25" t="s">
        <v>3775</v>
      </c>
      <c r="D25" t="s">
        <v>3774</v>
      </c>
      <c r="E25" s="11">
        <v>43314</v>
      </c>
      <c r="F25" t="s">
        <v>3831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0"/>
  <sheetViews>
    <sheetView workbookViewId="0">
      <selection activeCell="D3" sqref="D3"/>
    </sheetView>
  </sheetViews>
  <sheetFormatPr defaultRowHeight="15" x14ac:dyDescent="0.25"/>
  <cols>
    <col min="1" max="1" width="12.140625" bestFit="1" customWidth="1"/>
    <col min="2" max="2" width="12.42578125" bestFit="1" customWidth="1"/>
    <col min="5" max="5" width="12.42578125" bestFit="1" customWidth="1"/>
  </cols>
  <sheetData>
    <row r="1" spans="1:5" x14ac:dyDescent="0.25">
      <c r="A1" t="s">
        <v>3832</v>
      </c>
      <c r="B1" t="s">
        <v>3833</v>
      </c>
    </row>
    <row r="2" spans="1:5" x14ac:dyDescent="0.25">
      <c r="A2" t="s">
        <v>3834</v>
      </c>
      <c r="B2" t="s">
        <v>3835</v>
      </c>
      <c r="D2" t="s">
        <v>3834</v>
      </c>
      <c r="E2" t="s">
        <v>3835</v>
      </c>
    </row>
    <row r="3" spans="1:5" x14ac:dyDescent="0.25">
      <c r="A3" t="s">
        <v>3836</v>
      </c>
      <c r="B3" t="s">
        <v>3790</v>
      </c>
      <c r="D3" t="s">
        <v>3836</v>
      </c>
    </row>
    <row r="4" spans="1:5" x14ac:dyDescent="0.25">
      <c r="A4" t="s">
        <v>3837</v>
      </c>
      <c r="B4" t="s">
        <v>3838</v>
      </c>
    </row>
    <row r="5" spans="1:5" x14ac:dyDescent="0.25">
      <c r="B5" t="s">
        <v>3839</v>
      </c>
    </row>
    <row r="6" spans="1:5" x14ac:dyDescent="0.25">
      <c r="B6" t="s">
        <v>3840</v>
      </c>
    </row>
    <row r="7" spans="1:5" x14ac:dyDescent="0.25">
      <c r="B7" t="s">
        <v>3841</v>
      </c>
    </row>
    <row r="8" spans="1:5" x14ac:dyDescent="0.25">
      <c r="B8" t="s">
        <v>3842</v>
      </c>
    </row>
    <row r="9" spans="1:5" x14ac:dyDescent="0.25">
      <c r="B9" t="s">
        <v>3843</v>
      </c>
    </row>
    <row r="10" spans="1:5" x14ac:dyDescent="0.25">
      <c r="B10" t="s">
        <v>3844</v>
      </c>
    </row>
  </sheetData>
  <dataValidations count="2">
    <dataValidation type="list" allowBlank="1" showInputMessage="1" showErrorMessage="1" sqref="D3">
      <formula1>$A$3:$A$4</formula1>
    </dataValidation>
    <dataValidation type="list" allowBlank="1" showInputMessage="1" showErrorMessage="1" sqref="E3">
      <formula1>INDIRECT(SUBSTITUTE($D$3," ","_"))</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35"/>
  <sheetViews>
    <sheetView showGridLines="0" topLeftCell="A19" workbookViewId="0">
      <selection activeCell="G30" sqref="G30"/>
    </sheetView>
  </sheetViews>
  <sheetFormatPr defaultRowHeight="15" x14ac:dyDescent="0.25"/>
  <cols>
    <col min="1" max="1" width="16.42578125" bestFit="1" customWidth="1"/>
    <col min="11" max="11" width="13.140625" customWidth="1"/>
    <col min="12" max="12" width="10.140625" customWidth="1"/>
    <col min="13" max="13" width="13.5703125" customWidth="1"/>
  </cols>
  <sheetData>
    <row r="1" spans="1:17" ht="15.75" thickBot="1" x14ac:dyDescent="0.3">
      <c r="A1" s="64" t="s">
        <v>3845</v>
      </c>
      <c r="B1" s="69" t="s">
        <v>3846</v>
      </c>
      <c r="C1" s="70"/>
      <c r="D1" s="70"/>
      <c r="E1" s="71"/>
      <c r="F1" s="72" t="s">
        <v>3852</v>
      </c>
      <c r="G1" s="70"/>
      <c r="H1" s="70"/>
      <c r="I1" s="73"/>
      <c r="K1" s="76" t="s">
        <v>3861</v>
      </c>
      <c r="L1" s="76"/>
      <c r="M1" s="76"/>
      <c r="N1" s="76"/>
      <c r="O1" s="76"/>
    </row>
    <row r="2" spans="1:17" ht="15.75" thickBot="1" x14ac:dyDescent="0.3">
      <c r="A2" s="65"/>
      <c r="B2" s="66" t="s">
        <v>3848</v>
      </c>
      <c r="C2" s="67"/>
      <c r="D2" s="68" t="s">
        <v>3849</v>
      </c>
      <c r="E2" s="67"/>
      <c r="F2" s="74" t="s">
        <v>3848</v>
      </c>
      <c r="G2" s="68"/>
      <c r="H2" s="74" t="s">
        <v>3849</v>
      </c>
      <c r="I2" s="75"/>
      <c r="K2" s="61" t="s">
        <v>3862</v>
      </c>
      <c r="L2" s="62"/>
      <c r="M2" s="62"/>
      <c r="N2" s="62"/>
      <c r="O2" s="62"/>
      <c r="P2" s="62"/>
      <c r="Q2" s="63"/>
    </row>
    <row r="3" spans="1:17" ht="15.75" thickBot="1" x14ac:dyDescent="0.3">
      <c r="A3" s="21" t="s">
        <v>3847</v>
      </c>
      <c r="B3" s="18" t="s">
        <v>3850</v>
      </c>
      <c r="C3" s="20" t="s">
        <v>3851</v>
      </c>
      <c r="D3" s="18" t="s">
        <v>3850</v>
      </c>
      <c r="E3" s="20" t="s">
        <v>3851</v>
      </c>
      <c r="F3" s="18" t="s">
        <v>3850</v>
      </c>
      <c r="G3" s="20" t="s">
        <v>3851</v>
      </c>
      <c r="H3" s="19" t="s">
        <v>3850</v>
      </c>
      <c r="I3" s="26" t="s">
        <v>3851</v>
      </c>
      <c r="K3" s="77" t="s">
        <v>3845</v>
      </c>
      <c r="L3" s="79" t="s">
        <v>3863</v>
      </c>
      <c r="M3" s="81" t="s">
        <v>3864</v>
      </c>
      <c r="N3" s="83" t="s">
        <v>3865</v>
      </c>
      <c r="O3" s="84"/>
      <c r="P3" s="59" t="s">
        <v>3866</v>
      </c>
      <c r="Q3" s="60"/>
    </row>
    <row r="4" spans="1:17" x14ac:dyDescent="0.25">
      <c r="A4" s="21" t="s">
        <v>3853</v>
      </c>
      <c r="B4" s="27"/>
      <c r="C4" s="28"/>
      <c r="D4" s="27"/>
      <c r="E4" s="28"/>
      <c r="F4" s="27"/>
      <c r="G4" s="28"/>
      <c r="H4" s="22"/>
      <c r="I4" s="13"/>
      <c r="K4" s="78"/>
      <c r="L4" s="80"/>
      <c r="M4" s="82"/>
      <c r="N4" s="15" t="s">
        <v>3867</v>
      </c>
      <c r="O4" s="17" t="s">
        <v>3868</v>
      </c>
      <c r="P4" s="15" t="s">
        <v>3867</v>
      </c>
      <c r="Q4" s="38" t="s">
        <v>3868</v>
      </c>
    </row>
    <row r="5" spans="1:17" x14ac:dyDescent="0.25">
      <c r="A5" s="23" t="s">
        <v>3854</v>
      </c>
      <c r="B5" s="29"/>
      <c r="C5" s="30"/>
      <c r="D5" s="29"/>
      <c r="E5" s="30"/>
      <c r="F5" s="29"/>
      <c r="G5" s="30"/>
      <c r="H5" s="24"/>
      <c r="I5" s="25"/>
      <c r="K5" s="39"/>
      <c r="L5" s="37"/>
      <c r="M5" s="37"/>
      <c r="N5" s="29"/>
      <c r="O5" s="30"/>
      <c r="P5" s="29"/>
      <c r="Q5" s="25"/>
    </row>
    <row r="6" spans="1:17" x14ac:dyDescent="0.25">
      <c r="A6" s="23" t="s">
        <v>3855</v>
      </c>
      <c r="B6" s="29"/>
      <c r="C6" s="30"/>
      <c r="D6" s="29"/>
      <c r="E6" s="30"/>
      <c r="F6" s="29"/>
      <c r="G6" s="30"/>
      <c r="H6" s="24"/>
      <c r="I6" s="25"/>
      <c r="K6" s="39"/>
      <c r="L6" s="35"/>
      <c r="M6" s="35"/>
      <c r="N6" s="29"/>
      <c r="O6" s="30"/>
      <c r="P6" s="29"/>
      <c r="Q6" s="25"/>
    </row>
    <row r="7" spans="1:17" x14ac:dyDescent="0.25">
      <c r="A7" s="23" t="s">
        <v>3856</v>
      </c>
      <c r="B7" s="29"/>
      <c r="C7" s="30"/>
      <c r="D7" s="29"/>
      <c r="E7" s="30"/>
      <c r="F7" s="29"/>
      <c r="G7" s="30"/>
      <c r="H7" s="24"/>
      <c r="I7" s="25"/>
      <c r="K7" s="39"/>
      <c r="L7" s="35"/>
      <c r="M7" s="35"/>
      <c r="N7" s="29"/>
      <c r="O7" s="30"/>
      <c r="P7" s="29"/>
      <c r="Q7" s="25"/>
    </row>
    <row r="8" spans="1:17" x14ac:dyDescent="0.25">
      <c r="A8" s="23" t="s">
        <v>3857</v>
      </c>
      <c r="B8" s="29"/>
      <c r="C8" s="30"/>
      <c r="D8" s="29"/>
      <c r="E8" s="30"/>
      <c r="F8" s="29"/>
      <c r="G8" s="30"/>
      <c r="H8" s="24"/>
      <c r="I8" s="25"/>
      <c r="K8" s="39"/>
      <c r="L8" s="35"/>
      <c r="M8" s="35"/>
      <c r="N8" s="29"/>
      <c r="O8" s="30"/>
      <c r="P8" s="29"/>
      <c r="Q8" s="25"/>
    </row>
    <row r="9" spans="1:17" x14ac:dyDescent="0.25">
      <c r="A9" s="23" t="s">
        <v>3858</v>
      </c>
      <c r="B9" s="29"/>
      <c r="C9" s="30"/>
      <c r="D9" s="29"/>
      <c r="E9" s="30"/>
      <c r="F9" s="29"/>
      <c r="G9" s="30"/>
      <c r="H9" s="24"/>
      <c r="I9" s="25"/>
      <c r="K9" s="39"/>
      <c r="L9" s="35"/>
      <c r="M9" s="35"/>
      <c r="N9" s="29"/>
      <c r="O9" s="30"/>
      <c r="P9" s="29"/>
      <c r="Q9" s="25"/>
    </row>
    <row r="10" spans="1:17" x14ac:dyDescent="0.25">
      <c r="A10" s="23" t="s">
        <v>3859</v>
      </c>
      <c r="B10" s="29"/>
      <c r="C10" s="30"/>
      <c r="D10" s="29"/>
      <c r="E10" s="30"/>
      <c r="F10" s="29"/>
      <c r="G10" s="30"/>
      <c r="H10" s="24"/>
      <c r="I10" s="25"/>
      <c r="K10" s="39"/>
      <c r="L10" s="35"/>
      <c r="M10" s="35"/>
      <c r="N10" s="29"/>
      <c r="O10" s="30"/>
      <c r="P10" s="29"/>
      <c r="Q10" s="25"/>
    </row>
    <row r="11" spans="1:17" ht="15.75" thickBot="1" x14ac:dyDescent="0.3">
      <c r="A11" s="31" t="s">
        <v>3860</v>
      </c>
      <c r="B11" s="32">
        <f>SUM(B4:B10)</f>
        <v>0</v>
      </c>
      <c r="C11" s="33">
        <f t="shared" ref="C11:I11" si="0">SUM(C4:C10)</f>
        <v>0</v>
      </c>
      <c r="D11" s="32">
        <f t="shared" si="0"/>
        <v>0</v>
      </c>
      <c r="E11" s="33">
        <f t="shared" si="0"/>
        <v>0</v>
      </c>
      <c r="F11" s="32">
        <f t="shared" si="0"/>
        <v>0</v>
      </c>
      <c r="G11" s="33">
        <f t="shared" si="0"/>
        <v>0</v>
      </c>
      <c r="H11" s="32">
        <f t="shared" si="0"/>
        <v>0</v>
      </c>
      <c r="I11" s="34">
        <f t="shared" si="0"/>
        <v>0</v>
      </c>
      <c r="K11" s="39"/>
      <c r="L11" s="35"/>
      <c r="M11" s="35"/>
      <c r="N11" s="29"/>
      <c r="O11" s="30"/>
      <c r="P11" s="29"/>
      <c r="Q11" s="25"/>
    </row>
    <row r="12" spans="1:17" x14ac:dyDescent="0.25">
      <c r="K12" s="39"/>
      <c r="L12" s="35"/>
      <c r="M12" s="35"/>
      <c r="N12" s="29"/>
      <c r="O12" s="30"/>
      <c r="P12" s="29"/>
      <c r="Q12" s="25"/>
    </row>
    <row r="13" spans="1:17" x14ac:dyDescent="0.25">
      <c r="K13" s="39"/>
      <c r="L13" s="35"/>
      <c r="M13" s="35"/>
      <c r="N13" s="29"/>
      <c r="O13" s="30"/>
      <c r="P13" s="29"/>
      <c r="Q13" s="25"/>
    </row>
    <row r="14" spans="1:17" x14ac:dyDescent="0.25">
      <c r="K14" s="39"/>
      <c r="L14" s="35"/>
      <c r="M14" s="35"/>
      <c r="N14" s="29"/>
      <c r="O14" s="30"/>
      <c r="P14" s="29"/>
      <c r="Q14" s="25"/>
    </row>
    <row r="15" spans="1:17" ht="15.75" thickBot="1" x14ac:dyDescent="0.3">
      <c r="K15" s="40"/>
      <c r="L15" s="41"/>
      <c r="M15" s="41"/>
      <c r="N15" s="42"/>
      <c r="O15" s="43"/>
      <c r="P15" s="42"/>
      <c r="Q15" s="14"/>
    </row>
    <row r="22" spans="1:16" x14ac:dyDescent="0.25">
      <c r="A22" s="2" t="s">
        <v>3869</v>
      </c>
    </row>
    <row r="24" spans="1:16" x14ac:dyDescent="0.25">
      <c r="A24" s="46" t="s">
        <v>3870</v>
      </c>
      <c r="B24" s="55" t="s">
        <v>3871</v>
      </c>
      <c r="C24" s="56"/>
      <c r="D24" s="56"/>
      <c r="E24" s="56"/>
      <c r="F24" s="57"/>
      <c r="G24" s="55" t="s">
        <v>3880</v>
      </c>
      <c r="H24" s="56"/>
      <c r="I24" s="56"/>
      <c r="J24" s="56"/>
      <c r="K24" s="57"/>
      <c r="L24" s="55" t="s">
        <v>3883</v>
      </c>
      <c r="M24" s="56"/>
      <c r="N24" s="56"/>
      <c r="O24" s="56"/>
      <c r="P24" s="57"/>
    </row>
    <row r="25" spans="1:16" x14ac:dyDescent="0.25">
      <c r="A25" s="44" t="s">
        <v>3847</v>
      </c>
      <c r="B25" s="36" t="s">
        <v>3872</v>
      </c>
      <c r="C25" s="35" t="s">
        <v>3873</v>
      </c>
      <c r="D25" s="24" t="s">
        <v>3874</v>
      </c>
      <c r="E25" s="24" t="s">
        <v>3875</v>
      </c>
      <c r="F25" s="24" t="s">
        <v>3876</v>
      </c>
      <c r="G25" s="47" t="s">
        <v>3872</v>
      </c>
      <c r="H25" s="45" t="s">
        <v>3873</v>
      </c>
      <c r="I25" s="45" t="s">
        <v>3874</v>
      </c>
      <c r="J25" s="45" t="s">
        <v>3875</v>
      </c>
      <c r="K25" s="48" t="s">
        <v>3881</v>
      </c>
      <c r="L25" s="49" t="s">
        <v>3872</v>
      </c>
      <c r="M25" s="50" t="s">
        <v>3873</v>
      </c>
      <c r="N25" s="51" t="s">
        <v>3874</v>
      </c>
      <c r="O25" s="51" t="s">
        <v>3875</v>
      </c>
      <c r="P25" s="52" t="s">
        <v>3876</v>
      </c>
    </row>
    <row r="26" spans="1:16" x14ac:dyDescent="0.25">
      <c r="A26" s="44" t="s">
        <v>3879</v>
      </c>
      <c r="B26" s="44" t="s">
        <v>3877</v>
      </c>
      <c r="C26" s="53" t="s">
        <v>3878</v>
      </c>
      <c r="D26" s="54"/>
      <c r="E26" s="54"/>
      <c r="F26" s="54"/>
      <c r="G26" s="44" t="s">
        <v>3877</v>
      </c>
      <c r="H26" s="53" t="s">
        <v>3882</v>
      </c>
      <c r="I26" s="54"/>
      <c r="J26" s="54"/>
      <c r="K26" s="58"/>
      <c r="L26" s="49" t="s">
        <v>3877</v>
      </c>
      <c r="M26" s="54" t="s">
        <v>3882</v>
      </c>
      <c r="N26" s="54"/>
      <c r="O26" s="54"/>
      <c r="P26" s="58"/>
    </row>
    <row r="27" spans="1:16" x14ac:dyDescent="0.25">
      <c r="A27" s="45" t="s">
        <v>3884</v>
      </c>
      <c r="B27" s="35"/>
      <c r="G27" s="35"/>
      <c r="H27" s="24"/>
      <c r="I27" s="24"/>
      <c r="J27" s="24"/>
      <c r="K27" s="30"/>
      <c r="L27" s="35"/>
      <c r="M27" s="24"/>
      <c r="N27" s="24"/>
      <c r="O27" s="24"/>
      <c r="P27" s="30"/>
    </row>
    <row r="28" spans="1:16" x14ac:dyDescent="0.25">
      <c r="A28" s="45" t="s">
        <v>3859</v>
      </c>
      <c r="B28" s="35"/>
      <c r="G28" s="35"/>
      <c r="H28" s="24"/>
      <c r="I28" s="24"/>
      <c r="J28" s="24"/>
      <c r="K28" s="30"/>
      <c r="L28" s="35"/>
      <c r="M28" s="24"/>
      <c r="N28" s="24"/>
      <c r="O28" s="24"/>
      <c r="P28" s="30"/>
    </row>
    <row r="29" spans="1:16" x14ac:dyDescent="0.25">
      <c r="A29" s="45" t="s">
        <v>3858</v>
      </c>
      <c r="B29" s="35"/>
      <c r="G29" s="35"/>
      <c r="H29" s="24"/>
      <c r="I29" s="24"/>
      <c r="J29" s="24"/>
      <c r="K29" s="30"/>
      <c r="L29" s="35"/>
      <c r="M29" s="24"/>
      <c r="N29" s="24"/>
      <c r="O29" s="24"/>
      <c r="P29" s="30"/>
    </row>
    <row r="30" spans="1:16" x14ac:dyDescent="0.25">
      <c r="A30" s="45" t="s">
        <v>3885</v>
      </c>
      <c r="B30" s="35"/>
      <c r="G30" s="35"/>
      <c r="H30" s="24"/>
      <c r="I30" s="24"/>
      <c r="J30" s="24"/>
      <c r="K30" s="30"/>
      <c r="L30" s="35"/>
      <c r="M30" s="24"/>
      <c r="N30" s="24"/>
      <c r="O30" s="24"/>
      <c r="P30" s="30"/>
    </row>
    <row r="31" spans="1:16" x14ac:dyDescent="0.25">
      <c r="A31" s="45" t="s">
        <v>3886</v>
      </c>
      <c r="B31" s="35"/>
      <c r="G31" s="35"/>
      <c r="H31" s="24"/>
      <c r="I31" s="24"/>
      <c r="J31" s="24"/>
      <c r="K31" s="30"/>
      <c r="L31" s="35"/>
      <c r="M31" s="24"/>
      <c r="N31" s="24"/>
      <c r="O31" s="24"/>
      <c r="P31" s="30"/>
    </row>
    <row r="32" spans="1:16" x14ac:dyDescent="0.25">
      <c r="A32" s="45" t="s">
        <v>3857</v>
      </c>
      <c r="B32" s="35"/>
      <c r="G32" s="35"/>
      <c r="H32" s="24"/>
      <c r="I32" s="24"/>
      <c r="J32" s="24"/>
      <c r="K32" s="30"/>
      <c r="L32" s="35"/>
      <c r="M32" s="24"/>
      <c r="N32" s="24"/>
      <c r="O32" s="24"/>
      <c r="P32" s="30"/>
    </row>
    <row r="33" spans="1:16" x14ac:dyDescent="0.25">
      <c r="A33" s="45" t="s">
        <v>3888</v>
      </c>
      <c r="B33" s="35"/>
      <c r="G33" s="35"/>
      <c r="H33" s="24"/>
      <c r="I33" s="24"/>
      <c r="J33" s="24"/>
      <c r="K33" s="30"/>
      <c r="L33" s="35"/>
      <c r="M33" s="24"/>
      <c r="N33" s="24"/>
      <c r="O33" s="24"/>
      <c r="P33" s="30"/>
    </row>
    <row r="34" spans="1:16" x14ac:dyDescent="0.25">
      <c r="A34" s="45" t="s">
        <v>3888</v>
      </c>
      <c r="B34" s="35"/>
      <c r="G34" s="35"/>
      <c r="H34" s="24"/>
      <c r="I34" s="24"/>
      <c r="J34" s="24"/>
      <c r="K34" s="30"/>
      <c r="L34" s="35"/>
      <c r="M34" s="24"/>
      <c r="N34" s="24"/>
      <c r="O34" s="24"/>
      <c r="P34" s="30"/>
    </row>
    <row r="35" spans="1:16" x14ac:dyDescent="0.25">
      <c r="A35" s="15" t="s">
        <v>3887</v>
      </c>
      <c r="B35" s="44">
        <f>SUM(B27:B34)</f>
        <v>0</v>
      </c>
      <c r="C35" s="15">
        <f t="shared" ref="C35:P35" si="1">SUM(C27:C34)</f>
        <v>0</v>
      </c>
      <c r="D35" s="16">
        <f t="shared" si="1"/>
        <v>0</v>
      </c>
      <c r="E35" s="16">
        <f t="shared" si="1"/>
        <v>0</v>
      </c>
      <c r="F35" s="17">
        <f t="shared" si="1"/>
        <v>0</v>
      </c>
      <c r="G35" s="44">
        <f t="shared" si="1"/>
        <v>0</v>
      </c>
      <c r="H35" s="15">
        <f t="shared" si="1"/>
        <v>0</v>
      </c>
      <c r="I35" s="16">
        <f t="shared" si="1"/>
        <v>0</v>
      </c>
      <c r="J35" s="16">
        <f t="shared" si="1"/>
        <v>0</v>
      </c>
      <c r="K35" s="17">
        <f t="shared" si="1"/>
        <v>0</v>
      </c>
      <c r="L35" s="44">
        <f t="shared" si="1"/>
        <v>0</v>
      </c>
      <c r="M35" s="15">
        <f t="shared" si="1"/>
        <v>0</v>
      </c>
      <c r="N35" s="16">
        <f t="shared" si="1"/>
        <v>0</v>
      </c>
      <c r="O35" s="16">
        <f t="shared" si="1"/>
        <v>0</v>
      </c>
      <c r="P35" s="17">
        <f t="shared" si="1"/>
        <v>0</v>
      </c>
    </row>
  </sheetData>
  <mergeCells count="20">
    <mergeCell ref="P3:Q3"/>
    <mergeCell ref="K2:Q2"/>
    <mergeCell ref="A1:A2"/>
    <mergeCell ref="B2:C2"/>
    <mergeCell ref="D2:E2"/>
    <mergeCell ref="B1:E1"/>
    <mergeCell ref="F1:I1"/>
    <mergeCell ref="F2:G2"/>
    <mergeCell ref="H2:I2"/>
    <mergeCell ref="K1:O1"/>
    <mergeCell ref="K3:K4"/>
    <mergeCell ref="L3:L4"/>
    <mergeCell ref="M3:M4"/>
    <mergeCell ref="N3:O3"/>
    <mergeCell ref="C26:F26"/>
    <mergeCell ref="B24:F24"/>
    <mergeCell ref="H26:K26"/>
    <mergeCell ref="G24:K24"/>
    <mergeCell ref="L24:P24"/>
    <mergeCell ref="M26:P2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7"/>
  <sheetViews>
    <sheetView workbookViewId="0">
      <selection activeCell="I8" sqref="I8"/>
    </sheetView>
  </sheetViews>
  <sheetFormatPr defaultRowHeight="15" x14ac:dyDescent="0.25"/>
  <cols>
    <col min="1" max="4" width="15.140625" bestFit="1" customWidth="1"/>
  </cols>
  <sheetData>
    <row r="1" spans="1:12" x14ac:dyDescent="0.25">
      <c r="A1" t="s">
        <v>3789</v>
      </c>
      <c r="B1" t="s">
        <v>3799</v>
      </c>
      <c r="C1" t="s">
        <v>3799</v>
      </c>
      <c r="D1" t="s">
        <v>3799</v>
      </c>
      <c r="F1" t="s">
        <v>3789</v>
      </c>
      <c r="G1" t="s">
        <v>3789</v>
      </c>
      <c r="H1" t="s">
        <v>3789</v>
      </c>
      <c r="J1" t="s">
        <v>3789</v>
      </c>
      <c r="K1" t="s">
        <v>3789</v>
      </c>
      <c r="L1" t="s">
        <v>3789</v>
      </c>
    </row>
    <row r="2" spans="1:12" x14ac:dyDescent="0.25">
      <c r="A2" t="s">
        <v>3790</v>
      </c>
      <c r="B2" t="s">
        <v>3790</v>
      </c>
      <c r="C2" t="s">
        <v>3790</v>
      </c>
      <c r="D2" t="s">
        <v>3790</v>
      </c>
      <c r="F2" t="s">
        <v>3800</v>
      </c>
      <c r="G2" t="s">
        <v>3801</v>
      </c>
      <c r="H2" t="s">
        <v>3802</v>
      </c>
      <c r="J2" t="s">
        <v>3800</v>
      </c>
      <c r="K2" t="s">
        <v>3801</v>
      </c>
      <c r="L2" t="s">
        <v>3802</v>
      </c>
    </row>
    <row r="3" spans="1:12" x14ac:dyDescent="0.25">
      <c r="A3" t="s">
        <v>3791</v>
      </c>
      <c r="B3" t="s">
        <v>3791</v>
      </c>
      <c r="C3" t="s">
        <v>3791</v>
      </c>
      <c r="D3" t="s">
        <v>3791</v>
      </c>
    </row>
    <row r="4" spans="1:12" x14ac:dyDescent="0.25">
      <c r="A4" t="s">
        <v>3792</v>
      </c>
      <c r="B4" t="s">
        <v>3792</v>
      </c>
      <c r="C4" t="s">
        <v>3792</v>
      </c>
      <c r="D4" t="s">
        <v>3792</v>
      </c>
      <c r="E4" s="5"/>
    </row>
    <row r="5" spans="1:12" x14ac:dyDescent="0.25">
      <c r="A5" t="s">
        <v>3790</v>
      </c>
      <c r="B5" t="s">
        <v>3790</v>
      </c>
      <c r="C5" t="s">
        <v>3790</v>
      </c>
      <c r="D5" t="s">
        <v>3790</v>
      </c>
    </row>
    <row r="6" spans="1:12" x14ac:dyDescent="0.25">
      <c r="A6" t="s">
        <v>3791</v>
      </c>
      <c r="B6" t="s">
        <v>3791</v>
      </c>
      <c r="C6" t="s">
        <v>3791</v>
      </c>
      <c r="D6" t="s">
        <v>3791</v>
      </c>
    </row>
    <row r="7" spans="1:12" x14ac:dyDescent="0.25">
      <c r="A7" s="3"/>
      <c r="B7" s="4" t="s">
        <v>3792</v>
      </c>
      <c r="C7" s="4" t="s">
        <v>3792</v>
      </c>
      <c r="D7" s="6" t="s">
        <v>3792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
  <sheetViews>
    <sheetView workbookViewId="0">
      <selection activeCell="K2" sqref="K2"/>
    </sheetView>
  </sheetViews>
  <sheetFormatPr defaultRowHeight="15" x14ac:dyDescent="0.25"/>
  <cols>
    <col min="1" max="4" width="15.140625" style="7" bestFit="1" customWidth="1"/>
    <col min="11" max="18" width="9.140625" customWidth="1"/>
  </cols>
  <sheetData>
    <row r="1" spans="1:18" x14ac:dyDescent="0.25">
      <c r="A1" s="7" t="s">
        <v>3789</v>
      </c>
      <c r="B1" s="7" t="s">
        <v>3799</v>
      </c>
      <c r="C1" s="7" t="s">
        <v>3799</v>
      </c>
      <c r="D1" s="7" t="s">
        <v>3799</v>
      </c>
      <c r="H1" t="s">
        <v>3790</v>
      </c>
      <c r="I1" t="s">
        <v>3790</v>
      </c>
      <c r="J1" t="s">
        <v>3790</v>
      </c>
      <c r="K1">
        <v>1</v>
      </c>
      <c r="L1">
        <v>1</v>
      </c>
      <c r="M1">
        <v>1</v>
      </c>
      <c r="N1">
        <v>1</v>
      </c>
      <c r="O1">
        <v>1</v>
      </c>
      <c r="P1">
        <v>1</v>
      </c>
      <c r="Q1">
        <v>1</v>
      </c>
      <c r="R1">
        <v>1</v>
      </c>
    </row>
    <row r="2" spans="1:18" s="7" customFormat="1" ht="12.75" x14ac:dyDescent="0.2">
      <c r="A2" s="7" t="s">
        <v>3790</v>
      </c>
      <c r="B2" s="7" t="s">
        <v>3790</v>
      </c>
      <c r="C2" s="7" t="s">
        <v>3790</v>
      </c>
      <c r="D2" s="7" t="s">
        <v>3790</v>
      </c>
      <c r="H2" s="7" t="s">
        <v>3804</v>
      </c>
      <c r="I2" s="7" t="s">
        <v>3791</v>
      </c>
      <c r="J2" s="7" t="s">
        <v>3791</v>
      </c>
      <c r="K2" s="7">
        <v>0</v>
      </c>
      <c r="L2" s="7">
        <v>1</v>
      </c>
      <c r="M2" s="7">
        <v>0</v>
      </c>
      <c r="N2" s="7">
        <v>0</v>
      </c>
      <c r="O2" s="7">
        <v>1</v>
      </c>
      <c r="P2" s="7">
        <v>0</v>
      </c>
      <c r="Q2" s="7">
        <v>1</v>
      </c>
      <c r="R2" s="7">
        <v>1</v>
      </c>
    </row>
    <row r="3" spans="1:18" s="7" customFormat="1" ht="12.75" x14ac:dyDescent="0.2">
      <c r="A3" s="7" t="s">
        <v>3791</v>
      </c>
      <c r="B3" s="7" t="s">
        <v>3791</v>
      </c>
      <c r="C3" s="7" t="s">
        <v>3791</v>
      </c>
      <c r="D3" s="7" t="s">
        <v>3791</v>
      </c>
      <c r="E3" s="7" t="s">
        <v>3803</v>
      </c>
      <c r="F3" s="7" t="str">
        <f>TRIM(E3)</f>
        <v>S u ren dr a</v>
      </c>
      <c r="H3" s="7" t="s">
        <v>3792</v>
      </c>
      <c r="I3" s="7" t="s">
        <v>3792</v>
      </c>
      <c r="J3" s="7" t="s">
        <v>3792</v>
      </c>
      <c r="K3" s="7">
        <v>0</v>
      </c>
      <c r="L3" s="7">
        <v>0</v>
      </c>
      <c r="M3" s="7">
        <v>0</v>
      </c>
      <c r="N3" s="7">
        <v>1</v>
      </c>
      <c r="O3" s="7">
        <v>1</v>
      </c>
      <c r="P3" s="7">
        <v>1</v>
      </c>
      <c r="Q3" s="7">
        <v>1</v>
      </c>
      <c r="R3" s="7">
        <v>0</v>
      </c>
    </row>
    <row r="4" spans="1:18" s="7" customFormat="1" ht="12.75" x14ac:dyDescent="0.2">
      <c r="A4" s="7" t="s">
        <v>3792</v>
      </c>
      <c r="B4" s="7" t="s">
        <v>3792</v>
      </c>
      <c r="C4" s="7" t="s">
        <v>3792</v>
      </c>
      <c r="D4" s="7" t="s">
        <v>3792</v>
      </c>
      <c r="E4" s="7">
        <f>LEN(E3)</f>
        <v>14</v>
      </c>
      <c r="F4" s="7">
        <f>LEN(F3)</f>
        <v>12</v>
      </c>
      <c r="H4" s="7" t="s">
        <v>3793</v>
      </c>
      <c r="I4" s="7" t="s">
        <v>3793</v>
      </c>
      <c r="J4" s="7" t="s">
        <v>3793</v>
      </c>
      <c r="K4" s="7">
        <v>0</v>
      </c>
      <c r="L4" s="7">
        <v>0</v>
      </c>
      <c r="M4" s="7">
        <v>1</v>
      </c>
      <c r="N4" s="7">
        <v>0</v>
      </c>
      <c r="O4" s="7">
        <v>1</v>
      </c>
      <c r="P4" s="7">
        <v>0</v>
      </c>
      <c r="Q4" s="7">
        <v>0</v>
      </c>
      <c r="R4" s="7">
        <v>1</v>
      </c>
    </row>
    <row r="5" spans="1:18" s="7" customFormat="1" ht="12.75" x14ac:dyDescent="0.2">
      <c r="A5" s="7" t="s">
        <v>3793</v>
      </c>
      <c r="B5" s="7" t="s">
        <v>3793</v>
      </c>
      <c r="C5" s="7" t="s">
        <v>3793</v>
      </c>
      <c r="D5" s="7" t="s">
        <v>3793</v>
      </c>
      <c r="H5" s="7" t="s">
        <v>3805</v>
      </c>
      <c r="I5" s="7" t="s">
        <v>3794</v>
      </c>
      <c r="J5" s="7" t="s">
        <v>3794</v>
      </c>
      <c r="K5" s="7">
        <v>0</v>
      </c>
      <c r="L5" s="7">
        <v>1</v>
      </c>
      <c r="M5" s="7">
        <v>0</v>
      </c>
      <c r="N5" s="7">
        <v>1</v>
      </c>
      <c r="O5" s="7">
        <v>0</v>
      </c>
      <c r="P5" s="7">
        <v>0</v>
      </c>
      <c r="Q5" s="7">
        <v>0</v>
      </c>
      <c r="R5" s="7">
        <v>0</v>
      </c>
    </row>
    <row r="6" spans="1:18" s="7" customFormat="1" ht="12.75" x14ac:dyDescent="0.2">
      <c r="A6" s="7" t="s">
        <v>3794</v>
      </c>
      <c r="B6" s="7" t="s">
        <v>3794</v>
      </c>
      <c r="C6" s="7" t="s">
        <v>3794</v>
      </c>
      <c r="D6" s="7" t="s">
        <v>3794</v>
      </c>
      <c r="H6" s="7" t="s">
        <v>3795</v>
      </c>
      <c r="I6" s="7" t="s">
        <v>3795</v>
      </c>
      <c r="J6" s="7" t="s">
        <v>3795</v>
      </c>
      <c r="K6" s="7">
        <v>1</v>
      </c>
      <c r="L6" s="7">
        <v>1</v>
      </c>
      <c r="M6" s="7">
        <v>0</v>
      </c>
      <c r="N6" s="7">
        <v>1</v>
      </c>
      <c r="O6" s="7">
        <v>1</v>
      </c>
      <c r="P6" s="7">
        <v>1</v>
      </c>
      <c r="Q6" s="7">
        <v>0</v>
      </c>
      <c r="R6" s="7">
        <v>0</v>
      </c>
    </row>
    <row r="7" spans="1:18" s="7" customFormat="1" ht="12.75" x14ac:dyDescent="0.2">
      <c r="A7" s="7" t="s">
        <v>3795</v>
      </c>
      <c r="B7" s="7" t="s">
        <v>3795</v>
      </c>
      <c r="C7" s="7" t="s">
        <v>3795</v>
      </c>
      <c r="D7" s="7" t="s">
        <v>3795</v>
      </c>
      <c r="H7" s="7" t="s">
        <v>3796</v>
      </c>
      <c r="I7" s="7" t="s">
        <v>3796</v>
      </c>
      <c r="J7" s="7" t="s">
        <v>3796</v>
      </c>
      <c r="K7" s="7">
        <v>1</v>
      </c>
      <c r="L7" s="7">
        <v>0</v>
      </c>
      <c r="M7" s="7">
        <v>0</v>
      </c>
      <c r="N7" s="7">
        <v>0</v>
      </c>
      <c r="O7" s="7">
        <v>1</v>
      </c>
      <c r="P7" s="7">
        <v>1</v>
      </c>
      <c r="Q7" s="7">
        <v>1</v>
      </c>
      <c r="R7" s="7">
        <v>1</v>
      </c>
    </row>
    <row r="8" spans="1:18" s="7" customFormat="1" ht="12.75" x14ac:dyDescent="0.2">
      <c r="A8" s="7" t="s">
        <v>3796</v>
      </c>
      <c r="B8" s="7" t="s">
        <v>3796</v>
      </c>
      <c r="C8" s="7" t="s">
        <v>3796</v>
      </c>
      <c r="D8" s="7" t="s">
        <v>3796</v>
      </c>
      <c r="H8" s="7" t="s">
        <v>3806</v>
      </c>
      <c r="I8" s="7" t="s">
        <v>3797</v>
      </c>
      <c r="J8" s="7" t="s">
        <v>3797</v>
      </c>
      <c r="K8" s="7">
        <v>1</v>
      </c>
      <c r="L8" s="7">
        <v>1</v>
      </c>
      <c r="M8" s="7">
        <v>0</v>
      </c>
      <c r="N8" s="7">
        <v>0</v>
      </c>
      <c r="O8" s="7">
        <v>1</v>
      </c>
      <c r="P8" s="7">
        <v>1</v>
      </c>
      <c r="Q8" s="7">
        <v>1</v>
      </c>
      <c r="R8" s="7">
        <v>1</v>
      </c>
    </row>
    <row r="9" spans="1:18" x14ac:dyDescent="0.25">
      <c r="A9" s="7" t="s">
        <v>3797</v>
      </c>
      <c r="B9" s="7" t="s">
        <v>3797</v>
      </c>
      <c r="C9" s="7" t="s">
        <v>3797</v>
      </c>
      <c r="D9" s="7" t="s">
        <v>3797</v>
      </c>
      <c r="K9">
        <v>1</v>
      </c>
      <c r="L9">
        <v>0</v>
      </c>
      <c r="M9">
        <v>1</v>
      </c>
      <c r="N9">
        <v>1</v>
      </c>
      <c r="O9">
        <v>1</v>
      </c>
      <c r="P9">
        <v>0</v>
      </c>
      <c r="Q9">
        <v>1</v>
      </c>
      <c r="R9">
        <v>1</v>
      </c>
    </row>
    <row r="10" spans="1:18" x14ac:dyDescent="0.25">
      <c r="A10" s="7" t="s">
        <v>3798</v>
      </c>
      <c r="B10" s="7" t="s">
        <v>3798</v>
      </c>
      <c r="C10" s="7" t="s">
        <v>3798</v>
      </c>
      <c r="D10" s="7" t="s">
        <v>3798</v>
      </c>
      <c r="H10" t="s">
        <v>3790</v>
      </c>
      <c r="I10" t="s">
        <v>3790</v>
      </c>
      <c r="K10">
        <v>1</v>
      </c>
      <c r="L10">
        <v>1</v>
      </c>
      <c r="M10">
        <v>1</v>
      </c>
      <c r="N10">
        <v>0</v>
      </c>
      <c r="O10">
        <v>1</v>
      </c>
      <c r="P10">
        <v>0</v>
      </c>
      <c r="Q10">
        <v>0</v>
      </c>
      <c r="R10">
        <v>0</v>
      </c>
    </row>
    <row r="11" spans="1:18" x14ac:dyDescent="0.25">
      <c r="A11" s="7" t="s">
        <v>3790</v>
      </c>
      <c r="B11" s="7" t="s">
        <v>3790</v>
      </c>
      <c r="C11" s="7" t="s">
        <v>3790</v>
      </c>
      <c r="D11" s="7" t="s">
        <v>3790</v>
      </c>
      <c r="H11" t="s">
        <v>3791</v>
      </c>
      <c r="I11" t="s">
        <v>3791</v>
      </c>
    </row>
    <row r="12" spans="1:18" x14ac:dyDescent="0.25">
      <c r="A12" s="7" t="s">
        <v>3791</v>
      </c>
      <c r="B12" s="7" t="s">
        <v>3791</v>
      </c>
      <c r="C12" s="7" t="s">
        <v>3791</v>
      </c>
      <c r="D12" s="7" t="s">
        <v>3791</v>
      </c>
      <c r="H12" t="s">
        <v>3792</v>
      </c>
      <c r="I12" t="s">
        <v>3792</v>
      </c>
    </row>
    <row r="13" spans="1:18" x14ac:dyDescent="0.25">
      <c r="A13" s="7" t="s">
        <v>3792</v>
      </c>
      <c r="B13" s="7" t="s">
        <v>3792</v>
      </c>
      <c r="C13" s="7" t="s">
        <v>3792</v>
      </c>
      <c r="D13" s="7" t="s">
        <v>3792</v>
      </c>
      <c r="H13" t="s">
        <v>3793</v>
      </c>
      <c r="I13" t="s">
        <v>3793</v>
      </c>
    </row>
    <row r="14" spans="1:18" x14ac:dyDescent="0.25">
      <c r="A14" s="7" t="s">
        <v>3793</v>
      </c>
      <c r="B14" s="7" t="s">
        <v>3793</v>
      </c>
      <c r="C14" s="7" t="s">
        <v>3793</v>
      </c>
      <c r="D14" s="7" t="s">
        <v>3793</v>
      </c>
    </row>
    <row r="15" spans="1:18" x14ac:dyDescent="0.25">
      <c r="A15" s="7" t="s">
        <v>3794</v>
      </c>
      <c r="B15" s="7" t="s">
        <v>3794</v>
      </c>
      <c r="C15" s="7" t="s">
        <v>3794</v>
      </c>
      <c r="D15" s="7" t="s">
        <v>3794</v>
      </c>
      <c r="H15" t="s">
        <v>3795</v>
      </c>
      <c r="I15" t="s">
        <v>3795</v>
      </c>
    </row>
    <row r="16" spans="1:18" x14ac:dyDescent="0.25">
      <c r="A16" s="7" t="s">
        <v>3795</v>
      </c>
      <c r="B16" s="7" t="s">
        <v>3795</v>
      </c>
      <c r="C16" s="7" t="s">
        <v>3795</v>
      </c>
      <c r="D16" s="7" t="s">
        <v>3795</v>
      </c>
      <c r="H16" t="s">
        <v>3796</v>
      </c>
      <c r="I16" t="s">
        <v>3796</v>
      </c>
    </row>
    <row r="17" spans="1:9" x14ac:dyDescent="0.25">
      <c r="A17" s="7" t="s">
        <v>3796</v>
      </c>
      <c r="B17" s="7" t="s">
        <v>3796</v>
      </c>
      <c r="C17" s="7" t="s">
        <v>3796</v>
      </c>
      <c r="D17" s="7" t="s">
        <v>3796</v>
      </c>
      <c r="H17" t="s">
        <v>3797</v>
      </c>
      <c r="I17" t="s">
        <v>3797</v>
      </c>
    </row>
    <row r="18" spans="1:9" x14ac:dyDescent="0.25">
      <c r="A18" s="7" t="s">
        <v>3797</v>
      </c>
      <c r="B18" s="7" t="s">
        <v>3797</v>
      </c>
      <c r="C18" s="7" t="s">
        <v>3797</v>
      </c>
      <c r="D18" s="7" t="s">
        <v>3797</v>
      </c>
      <c r="H18" t="s">
        <v>3798</v>
      </c>
      <c r="I18" t="s">
        <v>3798</v>
      </c>
    </row>
    <row r="19" spans="1:9" x14ac:dyDescent="0.25">
      <c r="A19" s="7" t="s">
        <v>3798</v>
      </c>
      <c r="B19" s="8" t="s">
        <v>3798</v>
      </c>
      <c r="C19" s="9" t="s">
        <v>3798</v>
      </c>
      <c r="D19" s="10" t="s">
        <v>3798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H5" sqref="H5"/>
    </sheetView>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9"/>
  <sheetViews>
    <sheetView workbookViewId="0">
      <selection activeCell="H10" sqref="H10"/>
    </sheetView>
  </sheetViews>
  <sheetFormatPr defaultRowHeight="15" x14ac:dyDescent="0.25"/>
  <cols>
    <col min="1" max="2" width="15.140625" style="7" bestFit="1" customWidth="1"/>
  </cols>
  <sheetData>
    <row r="1" spans="1:9" x14ac:dyDescent="0.25">
      <c r="A1" s="7" t="s">
        <v>3789</v>
      </c>
      <c r="B1" s="7" t="s">
        <v>3799</v>
      </c>
      <c r="I1" s="11"/>
    </row>
    <row r="2" spans="1:9" x14ac:dyDescent="0.25">
      <c r="A2" s="7" t="s">
        <v>3790</v>
      </c>
      <c r="B2" s="7" t="s">
        <v>3790</v>
      </c>
      <c r="C2" t="s">
        <v>3815</v>
      </c>
      <c r="E2" t="s">
        <v>3824</v>
      </c>
      <c r="F2" t="s">
        <v>3826</v>
      </c>
      <c r="G2" t="s">
        <v>3824</v>
      </c>
    </row>
    <row r="3" spans="1:9" x14ac:dyDescent="0.25">
      <c r="A3" s="7" t="s">
        <v>3791</v>
      </c>
      <c r="B3" s="7" t="s">
        <v>3791</v>
      </c>
      <c r="C3" t="s">
        <v>3816</v>
      </c>
      <c r="E3" t="s">
        <v>3825</v>
      </c>
      <c r="F3" t="s">
        <v>3827</v>
      </c>
      <c r="G3" t="s">
        <v>3825</v>
      </c>
    </row>
    <row r="4" spans="1:9" x14ac:dyDescent="0.25">
      <c r="A4" s="7" t="s">
        <v>3792</v>
      </c>
      <c r="B4" s="7" t="s">
        <v>3792</v>
      </c>
      <c r="C4" t="s">
        <v>3817</v>
      </c>
    </row>
    <row r="5" spans="1:9" x14ac:dyDescent="0.25">
      <c r="A5" s="7" t="s">
        <v>3793</v>
      </c>
      <c r="B5" s="7" t="s">
        <v>3793</v>
      </c>
      <c r="C5" t="s">
        <v>3818</v>
      </c>
    </row>
    <row r="6" spans="1:9" x14ac:dyDescent="0.25">
      <c r="A6" s="7" t="s">
        <v>3794</v>
      </c>
      <c r="B6" s="7" t="s">
        <v>3794</v>
      </c>
      <c r="C6" t="s">
        <v>3819</v>
      </c>
    </row>
    <row r="7" spans="1:9" x14ac:dyDescent="0.25">
      <c r="A7" s="7" t="s">
        <v>3795</v>
      </c>
      <c r="B7" s="7" t="s">
        <v>3795</v>
      </c>
      <c r="C7" t="s">
        <v>3820</v>
      </c>
    </row>
    <row r="8" spans="1:9" x14ac:dyDescent="0.25">
      <c r="A8" s="7" t="s">
        <v>3796</v>
      </c>
      <c r="B8" s="7" t="s">
        <v>3796</v>
      </c>
      <c r="C8" t="s">
        <v>3821</v>
      </c>
    </row>
    <row r="9" spans="1:9" x14ac:dyDescent="0.25">
      <c r="A9" s="7" t="s">
        <v>3797</v>
      </c>
      <c r="B9" s="7" t="s">
        <v>3797</v>
      </c>
      <c r="C9" t="s">
        <v>3822</v>
      </c>
    </row>
    <row r="10" spans="1:9" x14ac:dyDescent="0.25">
      <c r="A10" s="7" t="s">
        <v>3798</v>
      </c>
      <c r="B10" s="7" t="s">
        <v>3798</v>
      </c>
      <c r="C10" t="s">
        <v>3823</v>
      </c>
    </row>
    <row r="11" spans="1:9" x14ac:dyDescent="0.25">
      <c r="A11" s="7" t="s">
        <v>3790</v>
      </c>
      <c r="B11" s="7" t="s">
        <v>3790</v>
      </c>
      <c r="C11" t="s">
        <v>3815</v>
      </c>
    </row>
    <row r="12" spans="1:9" x14ac:dyDescent="0.25">
      <c r="A12" s="7" t="s">
        <v>3791</v>
      </c>
      <c r="B12" s="7" t="s">
        <v>3791</v>
      </c>
      <c r="C12" t="s">
        <v>3816</v>
      </c>
    </row>
    <row r="13" spans="1:9" x14ac:dyDescent="0.25">
      <c r="A13" s="7" t="s">
        <v>3792</v>
      </c>
      <c r="B13" s="7" t="s">
        <v>3792</v>
      </c>
      <c r="C13" t="s">
        <v>3817</v>
      </c>
    </row>
    <row r="14" spans="1:9" x14ac:dyDescent="0.25">
      <c r="A14" s="7" t="s">
        <v>3793</v>
      </c>
      <c r="B14" s="7" t="s">
        <v>3793</v>
      </c>
      <c r="C14" t="s">
        <v>3818</v>
      </c>
    </row>
    <row r="15" spans="1:9" x14ac:dyDescent="0.25">
      <c r="A15" s="7" t="s">
        <v>3794</v>
      </c>
      <c r="B15" s="7" t="s">
        <v>3794</v>
      </c>
      <c r="C15" t="s">
        <v>3819</v>
      </c>
    </row>
    <row r="16" spans="1:9" x14ac:dyDescent="0.25">
      <c r="A16" s="7" t="s">
        <v>3795</v>
      </c>
      <c r="B16" s="7" t="s">
        <v>3795</v>
      </c>
      <c r="C16" t="s">
        <v>3820</v>
      </c>
    </row>
    <row r="17" spans="1:3" x14ac:dyDescent="0.25">
      <c r="A17" s="7" t="s">
        <v>3796</v>
      </c>
      <c r="B17" s="7" t="s">
        <v>3796</v>
      </c>
      <c r="C17" t="s">
        <v>3821</v>
      </c>
    </row>
    <row r="18" spans="1:3" x14ac:dyDescent="0.25">
      <c r="A18" s="7" t="s">
        <v>3797</v>
      </c>
      <c r="B18" s="7" t="s">
        <v>3797</v>
      </c>
      <c r="C18" t="s">
        <v>3822</v>
      </c>
    </row>
    <row r="19" spans="1:3" x14ac:dyDescent="0.25">
      <c r="A19" s="7" t="s">
        <v>3798</v>
      </c>
      <c r="B19" s="8" t="s">
        <v>3798</v>
      </c>
      <c r="C19" t="s">
        <v>3823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4"/>
  <sheetViews>
    <sheetView tabSelected="1" workbookViewId="0">
      <selection activeCell="D3" sqref="D3"/>
    </sheetView>
  </sheetViews>
  <sheetFormatPr defaultRowHeight="15" x14ac:dyDescent="0.25"/>
  <cols>
    <col min="4" max="4" width="20.42578125" bestFit="1" customWidth="1"/>
  </cols>
  <sheetData>
    <row r="1" spans="1:4" x14ac:dyDescent="0.25">
      <c r="A1" t="s">
        <v>3889</v>
      </c>
      <c r="B1" t="s">
        <v>3890</v>
      </c>
      <c r="C1" t="s">
        <v>3891</v>
      </c>
    </row>
    <row r="2" spans="1:4" x14ac:dyDescent="0.25">
      <c r="A2" t="s">
        <v>3892</v>
      </c>
      <c r="B2" t="s">
        <v>3893</v>
      </c>
      <c r="C2" t="s">
        <v>3894</v>
      </c>
      <c r="D2" t="str">
        <f>CONCATECOLUMNS(A2:A4,"','")</f>
        <v>'Surendra','Kumar','Yadav'</v>
      </c>
    </row>
    <row r="3" spans="1:4" x14ac:dyDescent="0.25">
      <c r="A3" t="s">
        <v>3893</v>
      </c>
    </row>
    <row r="4" spans="1:4" x14ac:dyDescent="0.25">
      <c r="A4" t="s">
        <v>3894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Sheet1</vt:lpstr>
      <vt:lpstr>Sheet2</vt:lpstr>
      <vt:lpstr>Vlookup</vt:lpstr>
      <vt:lpstr>DynamicFilter</vt:lpstr>
      <vt:lpstr>Drop-Down List</vt:lpstr>
      <vt:lpstr>Dashboards</vt:lpstr>
      <vt:lpstr>AdvancedFilter</vt:lpstr>
      <vt:lpstr>Sheet3</vt:lpstr>
      <vt:lpstr>PVT</vt:lpstr>
      <vt:lpstr>ADO</vt:lpstr>
      <vt:lpstr>Concatenate</vt:lpstr>
      <vt:lpstr>AdvancedFilter!Criteria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Surendra</dc:creator>
  <cp:lastModifiedBy>Surendra</cp:lastModifiedBy>
  <dcterms:created xsi:type="dcterms:W3CDTF">2018-04-17T22:54:36Z</dcterms:created>
  <dcterms:modified xsi:type="dcterms:W3CDTF">2019-11-08T19:35:49Z</dcterms:modified>
</cp:coreProperties>
</file>